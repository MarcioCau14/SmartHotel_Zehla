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Financeiro" sheetId="1" state="visible" r:id="rId1"/>
    <sheet xmlns:r="http://schemas.openxmlformats.org/officeDocument/2006/relationships" name="Receitas" sheetId="2" state="visible" r:id="rId2"/>
    <sheet xmlns:r="http://schemas.openxmlformats.org/officeDocument/2006/relationships" name="Custos" sheetId="3" state="visible" r:id="rId3"/>
    <sheet xmlns:r="http://schemas.openxmlformats.org/officeDocument/2006/relationships" name="Ponto de Equilibrio" sheetId="4" state="visible" r:id="rId4"/>
    <sheet xmlns:r="http://schemas.openxmlformats.org/officeDocument/2006/relationships" name="Investi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13">
    <font>
      <name val="Calibri"/>
      <family val="2"/>
      <color theme="1"/>
      <sz val="11"/>
      <scheme val="minor"/>
    </font>
    <font>
      <name val="Calibri"/>
      <b val="1"/>
      <color rgb="000D1117"/>
      <sz val="16"/>
    </font>
    <font>
      <name val="Calibri"/>
      <color rgb="006B7280"/>
      <sz val="11"/>
    </font>
    <font>
      <name val="Calibri"/>
      <color rgb="006B7280"/>
      <sz val="9"/>
    </font>
    <font>
      <name val="Calibri"/>
      <b val="1"/>
      <color rgb="0010B981"/>
      <sz val="22"/>
    </font>
    <font>
      <name val="Calibri"/>
      <b val="1"/>
      <color rgb="000D1117"/>
      <sz val="12"/>
    </font>
    <font>
      <name val="Calibri"/>
      <b val="1"/>
      <color rgb="00FFFFFF"/>
      <sz val="12"/>
    </font>
    <font>
      <name val="Calibri"/>
      <color rgb="00333333"/>
      <sz val="10"/>
    </font>
    <font>
      <name val="Calibri"/>
      <b val="1"/>
      <color rgb="0010B981"/>
      <sz val="10"/>
    </font>
    <font>
      <name val="Calibri"/>
      <b val="1"/>
      <color rgb="0010B981"/>
    </font>
    <font>
      <name val="Calibri"/>
      <b val="1"/>
      <sz val="10"/>
    </font>
    <font>
      <name val="Calibri"/>
      <b val="1"/>
      <color rgb="0010B981"/>
      <sz val="13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117"/>
        <bgColor rgb="000D111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164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9" fillId="0" borderId="1" pivotButton="0" quotePrefix="0" xfId="0"/>
    <xf numFmtId="9" fontId="9" fillId="0" borderId="1" pivotButton="0" quotePrefix="0" xfId="0"/>
    <xf numFmtId="164" fontId="9" fillId="0" borderId="1" pivotButton="0" quotePrefix="0" xfId="0"/>
    <xf numFmtId="0" fontId="1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Mensal Total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Financeiro'!H8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Financeiro'!$A$9:$A$20</f>
            </numRef>
          </cat>
          <val>
            <numRef>
              <f>'Resumo Financeiro'!$H$9:$H$20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ZEHLA SmartHotel — Modelo Financeiro 2025-2028</t>
        </is>
      </c>
    </row>
    <row r="2">
      <c r="A2" s="2" t="inlineStr">
        <is>
          <t>Cognitive Hospitality OS — Projecoes Financeiras</t>
        </is>
      </c>
    </row>
    <row r="4">
      <c r="A4" s="3" t="inlineStr">
        <is>
          <t>Receita Anual (Ano 1)</t>
        </is>
      </c>
      <c r="B4" s="4" t="inlineStr">
        <is>
          <t>R$ 4.287.600</t>
        </is>
      </c>
      <c r="C4" s="3" t="inlineStr">
        <is>
          <t>LTV</t>
        </is>
      </c>
      <c r="D4" s="4" t="inlineStr">
        <is>
          <t>R$ 8.568</t>
        </is>
      </c>
      <c r="E4" s="3" t="inlineStr">
        <is>
          <t>Payback</t>
        </is>
      </c>
      <c r="F4" s="4" t="inlineStr">
        <is>
          <t>3 meses</t>
        </is>
      </c>
    </row>
    <row r="5">
      <c r="A5" s="3" t="inlineStr">
        <is>
          <t>CAC Medio</t>
        </is>
      </c>
      <c r="B5" s="4" t="inlineStr">
        <is>
          <t>R$ 420</t>
        </is>
      </c>
      <c r="C5" s="3" t="inlineStr">
        <is>
          <t>Margem Bruta</t>
        </is>
      </c>
      <c r="D5" s="4" t="inlineStr">
        <is>
          <t>72%</t>
        </is>
      </c>
      <c r="E5" s="3" t="inlineStr">
        <is>
          <t>ROI Ano 1</t>
        </is>
      </c>
      <c r="F5" s="4" t="inlineStr">
        <is>
          <t>340%</t>
        </is>
      </c>
    </row>
    <row r="7">
      <c r="A7" s="5" t="inlineStr">
        <is>
          <t>Receita Mensal por Plano (Ano 1 — 12 meses)</t>
        </is>
      </c>
    </row>
    <row r="8">
      <c r="A8" s="6" t="inlineStr">
        <is>
          <t>Mes</t>
        </is>
      </c>
      <c r="B8" s="6" t="inlineStr">
        <is>
          <t>Starter (Qtd)</t>
        </is>
      </c>
      <c r="C8" s="6" t="inlineStr">
        <is>
          <t>Starter (R$)</t>
        </is>
      </c>
      <c r="D8" s="6" t="inlineStr">
        <is>
          <t>Profissional (Qtd)</t>
        </is>
      </c>
      <c r="E8" s="6" t="inlineStr">
        <is>
          <t>Profissional (R$)</t>
        </is>
      </c>
      <c r="F8" s="6" t="inlineStr">
        <is>
          <t>Enterprise (Qtd)</t>
        </is>
      </c>
      <c r="G8" s="6" t="inlineStr">
        <is>
          <t>Enterprise (R$)</t>
        </is>
      </c>
      <c r="H8" s="6" t="inlineStr">
        <is>
          <t>Total (R$)</t>
        </is>
      </c>
    </row>
    <row r="9">
      <c r="A9" s="7" t="inlineStr">
        <is>
          <t>Mês 1</t>
        </is>
      </c>
      <c r="B9" s="8" t="n">
        <v>10</v>
      </c>
      <c r="C9" s="9">
        <f>B9*297</f>
        <v/>
      </c>
      <c r="D9" s="8" t="n">
        <v>3</v>
      </c>
      <c r="E9" s="9">
        <f>D9*597</f>
        <v/>
      </c>
      <c r="F9" s="8" t="n">
        <v>1</v>
      </c>
      <c r="G9" s="9">
        <f>F9*1497</f>
        <v/>
      </c>
      <c r="H9" s="9">
        <f>C9+E9+G9</f>
        <v/>
      </c>
    </row>
    <row r="10">
      <c r="A10" s="7" t="inlineStr">
        <is>
          <t>Mês 2</t>
        </is>
      </c>
      <c r="B10" s="8" t="n">
        <v>12</v>
      </c>
      <c r="C10" s="9">
        <f>B10*297</f>
        <v/>
      </c>
      <c r="D10" s="8" t="n">
        <v>4</v>
      </c>
      <c r="E10" s="9">
        <f>D10*597</f>
        <v/>
      </c>
      <c r="F10" s="8" t="n">
        <v>1</v>
      </c>
      <c r="G10" s="9">
        <f>F10*1497</f>
        <v/>
      </c>
      <c r="H10" s="9">
        <f>C10+E10+G10</f>
        <v/>
      </c>
    </row>
    <row r="11">
      <c r="A11" s="7" t="inlineStr">
        <is>
          <t>Mês 3</t>
        </is>
      </c>
      <c r="B11" s="8" t="n">
        <v>14</v>
      </c>
      <c r="C11" s="9">
        <f>B11*297</f>
        <v/>
      </c>
      <c r="D11" s="8" t="n">
        <v>5</v>
      </c>
      <c r="E11" s="9">
        <f>D11*597</f>
        <v/>
      </c>
      <c r="F11" s="8" t="n">
        <v>1</v>
      </c>
      <c r="G11" s="9">
        <f>F11*1497</f>
        <v/>
      </c>
      <c r="H11" s="9">
        <f>C11+E11+G11</f>
        <v/>
      </c>
    </row>
    <row r="12">
      <c r="A12" s="7" t="inlineStr">
        <is>
          <t>Mês 4</t>
        </is>
      </c>
      <c r="B12" s="8" t="n">
        <v>17</v>
      </c>
      <c r="C12" s="9">
        <f>B12*297</f>
        <v/>
      </c>
      <c r="D12" s="8" t="n">
        <v>6</v>
      </c>
      <c r="E12" s="9">
        <f>D12*597</f>
        <v/>
      </c>
      <c r="F12" s="8" t="n">
        <v>2</v>
      </c>
      <c r="G12" s="9">
        <f>F12*1497</f>
        <v/>
      </c>
      <c r="H12" s="9">
        <f>C12+E12+G12</f>
        <v/>
      </c>
    </row>
    <row r="13">
      <c r="A13" s="7" t="inlineStr">
        <is>
          <t>Mês 5</t>
        </is>
      </c>
      <c r="B13" s="8" t="n">
        <v>20</v>
      </c>
      <c r="C13" s="9">
        <f>B13*297</f>
        <v/>
      </c>
      <c r="D13" s="8" t="n">
        <v>7</v>
      </c>
      <c r="E13" s="9">
        <f>D13*597</f>
        <v/>
      </c>
      <c r="F13" s="8" t="n">
        <v>2</v>
      </c>
      <c r="G13" s="9">
        <f>F13*1497</f>
        <v/>
      </c>
      <c r="H13" s="9">
        <f>C13+E13+G13</f>
        <v/>
      </c>
    </row>
    <row r="14">
      <c r="A14" s="7" t="inlineStr">
        <is>
          <t>Mês 6</t>
        </is>
      </c>
      <c r="B14" s="8" t="n">
        <v>24</v>
      </c>
      <c r="C14" s="9">
        <f>B14*297</f>
        <v/>
      </c>
      <c r="D14" s="8" t="n">
        <v>9</v>
      </c>
      <c r="E14" s="9">
        <f>D14*597</f>
        <v/>
      </c>
      <c r="F14" s="8" t="n">
        <v>2</v>
      </c>
      <c r="G14" s="9">
        <f>F14*1497</f>
        <v/>
      </c>
      <c r="H14" s="9">
        <f>C14+E14+G14</f>
        <v/>
      </c>
    </row>
    <row r="15">
      <c r="A15" s="7" t="inlineStr">
        <is>
          <t>Mês 7</t>
        </is>
      </c>
      <c r="B15" s="8" t="n">
        <v>28</v>
      </c>
      <c r="C15" s="9">
        <f>B15*297</f>
        <v/>
      </c>
      <c r="D15" s="8" t="n">
        <v>10</v>
      </c>
      <c r="E15" s="9">
        <f>D15*597</f>
        <v/>
      </c>
      <c r="F15" s="8" t="n">
        <v>3</v>
      </c>
      <c r="G15" s="9">
        <f>F15*1497</f>
        <v/>
      </c>
      <c r="H15" s="9">
        <f>C15+E15+G15</f>
        <v/>
      </c>
    </row>
    <row r="16">
      <c r="A16" s="7" t="inlineStr">
        <is>
          <t>Mês 8</t>
        </is>
      </c>
      <c r="B16" s="8" t="n">
        <v>33</v>
      </c>
      <c r="C16" s="9">
        <f>B16*297</f>
        <v/>
      </c>
      <c r="D16" s="8" t="n">
        <v>12</v>
      </c>
      <c r="E16" s="9">
        <f>D16*597</f>
        <v/>
      </c>
      <c r="F16" s="8" t="n">
        <v>3</v>
      </c>
      <c r="G16" s="9">
        <f>F16*1497</f>
        <v/>
      </c>
      <c r="H16" s="9">
        <f>C16+E16+G16</f>
        <v/>
      </c>
    </row>
    <row r="17">
      <c r="A17" s="7" t="inlineStr">
        <is>
          <t>Mês 9</t>
        </is>
      </c>
      <c r="B17" s="8" t="n">
        <v>38</v>
      </c>
      <c r="C17" s="9">
        <f>B17*297</f>
        <v/>
      </c>
      <c r="D17" s="8" t="n">
        <v>15</v>
      </c>
      <c r="E17" s="9">
        <f>D17*597</f>
        <v/>
      </c>
      <c r="F17" s="8" t="n">
        <v>3</v>
      </c>
      <c r="G17" s="9">
        <f>F17*1497</f>
        <v/>
      </c>
      <c r="H17" s="9">
        <f>C17+E17+G17</f>
        <v/>
      </c>
    </row>
    <row r="18">
      <c r="A18" s="7" t="inlineStr">
        <is>
          <t>Mês 10</t>
        </is>
      </c>
      <c r="B18" s="8" t="n">
        <v>44</v>
      </c>
      <c r="C18" s="9">
        <f>B18*297</f>
        <v/>
      </c>
      <c r="D18" s="8" t="n">
        <v>18</v>
      </c>
      <c r="E18" s="9">
        <f>D18*597</f>
        <v/>
      </c>
      <c r="F18" s="8" t="n">
        <v>4</v>
      </c>
      <c r="G18" s="9">
        <f>F18*1497</f>
        <v/>
      </c>
      <c r="H18" s="9">
        <f>C18+E18+G18</f>
        <v/>
      </c>
    </row>
    <row r="19">
      <c r="A19" s="7" t="inlineStr">
        <is>
          <t>Mês 11</t>
        </is>
      </c>
      <c r="B19" s="8" t="n">
        <v>50</v>
      </c>
      <c r="C19" s="9">
        <f>B19*297</f>
        <v/>
      </c>
      <c r="D19" s="8" t="n">
        <v>21</v>
      </c>
      <c r="E19" s="9">
        <f>D19*597</f>
        <v/>
      </c>
      <c r="F19" s="8" t="n">
        <v>4</v>
      </c>
      <c r="G19" s="9">
        <f>F19*1497</f>
        <v/>
      </c>
      <c r="H19" s="9">
        <f>C19+E19+G19</f>
        <v/>
      </c>
    </row>
    <row r="20">
      <c r="A20" s="7" t="inlineStr">
        <is>
          <t>Mês 12</t>
        </is>
      </c>
      <c r="B20" s="8" t="n">
        <v>58</v>
      </c>
      <c r="C20" s="9">
        <f>B20*297</f>
        <v/>
      </c>
      <c r="D20" s="8" t="n">
        <v>25</v>
      </c>
      <c r="E20" s="9">
        <f>D20*597</f>
        <v/>
      </c>
      <c r="F20" s="8" t="n">
        <v>5</v>
      </c>
      <c r="G20" s="9">
        <f>F20*1497</f>
        <v/>
      </c>
      <c r="H20" s="9">
        <f>C20+E20+G20</f>
        <v/>
      </c>
    </row>
    <row r="21">
      <c r="A21" s="10" t="inlineStr">
        <is>
          <t>TOTAL ANO 1</t>
        </is>
      </c>
      <c r="C21" s="11">
        <f>SUM(C9:C20)</f>
        <v/>
      </c>
      <c r="E21" s="11">
        <f>SUM(E9:E20)</f>
        <v/>
      </c>
      <c r="G21" s="11">
        <f>SUM(G9:G20)</f>
        <v/>
      </c>
      <c r="H21" s="11">
        <f>SUM(H9:H20)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Projecao de Receitas — 36 Meses</t>
        </is>
      </c>
    </row>
    <row r="3">
      <c r="A3" s="6" t="inlineStr">
        <is>
          <t>Mes</t>
        </is>
      </c>
      <c r="B3" s="6" t="inlineStr">
        <is>
          <t>Starter Qtd</t>
        </is>
      </c>
      <c r="C3" s="6" t="inlineStr">
        <is>
          <t>Starter R$</t>
        </is>
      </c>
      <c r="D3" s="6" t="inlineStr">
        <is>
          <t>Profissional Qtd</t>
        </is>
      </c>
      <c r="E3" s="6" t="inlineStr">
        <is>
          <t>Profissional R$</t>
        </is>
      </c>
      <c r="F3" s="6" t="inlineStr">
        <is>
          <t>Enterprise Qtd</t>
        </is>
      </c>
      <c r="G3" s="6" t="inlineStr">
        <is>
          <t>Enterprise R$</t>
        </is>
      </c>
      <c r="H3" s="6" t="inlineStr">
        <is>
          <t>Receita Total R$</t>
        </is>
      </c>
    </row>
    <row r="4">
      <c r="A4" s="7" t="inlineStr">
        <is>
          <t>Mês 1</t>
        </is>
      </c>
      <c r="B4" s="8" t="n">
        <v>10</v>
      </c>
      <c r="C4" s="9">
        <f>B4*297</f>
        <v/>
      </c>
      <c r="D4" s="8" t="n">
        <v>3</v>
      </c>
      <c r="E4" s="9">
        <f>D4*597</f>
        <v/>
      </c>
      <c r="F4" s="8" t="n">
        <v>1</v>
      </c>
      <c r="G4" s="9">
        <f>F4*1497</f>
        <v/>
      </c>
      <c r="H4" s="9">
        <f>C4+E4+G4</f>
        <v/>
      </c>
    </row>
    <row r="5">
      <c r="A5" s="7" t="inlineStr">
        <is>
          <t>Mês 2</t>
        </is>
      </c>
      <c r="B5" s="8" t="n">
        <v>14</v>
      </c>
      <c r="C5" s="9">
        <f>B5*297</f>
        <v/>
      </c>
      <c r="D5" s="8" t="n">
        <v>4</v>
      </c>
      <c r="E5" s="9">
        <f>D5*597</f>
        <v/>
      </c>
      <c r="F5" s="8" t="n">
        <v>1</v>
      </c>
      <c r="G5" s="9">
        <f>F5*1497</f>
        <v/>
      </c>
      <c r="H5" s="9">
        <f>C5+E5+G5</f>
        <v/>
      </c>
    </row>
    <row r="6">
      <c r="A6" s="7" t="inlineStr">
        <is>
          <t>Mês 3</t>
        </is>
      </c>
      <c r="B6" s="8" t="n">
        <v>18</v>
      </c>
      <c r="C6" s="9">
        <f>B6*297</f>
        <v/>
      </c>
      <c r="D6" s="8" t="n">
        <v>5</v>
      </c>
      <c r="E6" s="9">
        <f>D6*597</f>
        <v/>
      </c>
      <c r="F6" s="8" t="n">
        <v>1</v>
      </c>
      <c r="G6" s="9">
        <f>F6*1497</f>
        <v/>
      </c>
      <c r="H6" s="9">
        <f>C6+E6+G6</f>
        <v/>
      </c>
    </row>
    <row r="7">
      <c r="A7" s="7" t="inlineStr">
        <is>
          <t>Mês 4</t>
        </is>
      </c>
      <c r="B7" s="8" t="n">
        <v>24</v>
      </c>
      <c r="C7" s="9">
        <f>B7*297</f>
        <v/>
      </c>
      <c r="D7" s="8" t="n">
        <v>6</v>
      </c>
      <c r="E7" s="9">
        <f>D7*597</f>
        <v/>
      </c>
      <c r="F7" s="8" t="n">
        <v>1</v>
      </c>
      <c r="G7" s="9">
        <f>F7*1497</f>
        <v/>
      </c>
      <c r="H7" s="9">
        <f>C7+E7+G7</f>
        <v/>
      </c>
    </row>
    <row r="8">
      <c r="A8" s="7" t="inlineStr">
        <is>
          <t>Mês 5</t>
        </is>
      </c>
      <c r="B8" s="8" t="n">
        <v>29</v>
      </c>
      <c r="C8" s="9">
        <f>B8*297</f>
        <v/>
      </c>
      <c r="D8" s="8" t="n">
        <v>8</v>
      </c>
      <c r="E8" s="9">
        <f>D8*597</f>
        <v/>
      </c>
      <c r="F8" s="8" t="n">
        <v>1</v>
      </c>
      <c r="G8" s="9">
        <f>F8*1497</f>
        <v/>
      </c>
      <c r="H8" s="9">
        <f>C8+E8+G8</f>
        <v/>
      </c>
    </row>
    <row r="9">
      <c r="A9" s="7" t="inlineStr">
        <is>
          <t>Mês 6</t>
        </is>
      </c>
      <c r="B9" s="8" t="n">
        <v>35</v>
      </c>
      <c r="C9" s="9">
        <f>B9*297</f>
        <v/>
      </c>
      <c r="D9" s="8" t="n">
        <v>10</v>
      </c>
      <c r="E9" s="9">
        <f>D9*597</f>
        <v/>
      </c>
      <c r="F9" s="8" t="n">
        <v>2</v>
      </c>
      <c r="G9" s="9">
        <f>F9*1497</f>
        <v/>
      </c>
      <c r="H9" s="9">
        <f>C9+E9+G9</f>
        <v/>
      </c>
    </row>
    <row r="10">
      <c r="A10" s="7" t="inlineStr">
        <is>
          <t>Mês 7</t>
        </is>
      </c>
      <c r="B10" s="8" t="n">
        <v>43</v>
      </c>
      <c r="C10" s="9">
        <f>B10*297</f>
        <v/>
      </c>
      <c r="D10" s="8" t="n">
        <v>12</v>
      </c>
      <c r="E10" s="9">
        <f>D10*597</f>
        <v/>
      </c>
      <c r="F10" s="8" t="n">
        <v>2</v>
      </c>
      <c r="G10" s="9">
        <f>F10*1497</f>
        <v/>
      </c>
      <c r="H10" s="9">
        <f>C10+E10+G10</f>
        <v/>
      </c>
    </row>
    <row r="11">
      <c r="A11" s="7" t="inlineStr">
        <is>
          <t>Mês 8</t>
        </is>
      </c>
      <c r="B11" s="8" t="n">
        <v>51</v>
      </c>
      <c r="C11" s="9">
        <f>B11*297</f>
        <v/>
      </c>
      <c r="D11" s="8" t="n">
        <v>14</v>
      </c>
      <c r="E11" s="9">
        <f>D11*597</f>
        <v/>
      </c>
      <c r="F11" s="8" t="n">
        <v>2</v>
      </c>
      <c r="G11" s="9">
        <f>F11*1497</f>
        <v/>
      </c>
      <c r="H11" s="9">
        <f>C11+E11+G11</f>
        <v/>
      </c>
    </row>
    <row r="12">
      <c r="A12" s="7" t="inlineStr">
        <is>
          <t>Mês 9</t>
        </is>
      </c>
      <c r="B12" s="8" t="n">
        <v>60</v>
      </c>
      <c r="C12" s="9">
        <f>B12*297</f>
        <v/>
      </c>
      <c r="D12" s="8" t="n">
        <v>18</v>
      </c>
      <c r="E12" s="9">
        <f>D12*597</f>
        <v/>
      </c>
      <c r="F12" s="8" t="n">
        <v>2</v>
      </c>
      <c r="G12" s="9">
        <f>F12*1497</f>
        <v/>
      </c>
      <c r="H12" s="9">
        <f>C12+E12+G12</f>
        <v/>
      </c>
    </row>
    <row r="13">
      <c r="A13" s="7" t="inlineStr">
        <is>
          <t>Mês 10</t>
        </is>
      </c>
      <c r="B13" s="8" t="n">
        <v>71</v>
      </c>
      <c r="C13" s="9">
        <f>B13*297</f>
        <v/>
      </c>
      <c r="D13" s="8" t="n">
        <v>21</v>
      </c>
      <c r="E13" s="9">
        <f>D13*597</f>
        <v/>
      </c>
      <c r="F13" s="8" t="n">
        <v>2</v>
      </c>
      <c r="G13" s="9">
        <f>F13*1497</f>
        <v/>
      </c>
      <c r="H13" s="9">
        <f>C13+E13+G13</f>
        <v/>
      </c>
    </row>
    <row r="14">
      <c r="A14" s="7" t="inlineStr">
        <is>
          <t>Mês 11</t>
        </is>
      </c>
      <c r="B14" s="8" t="n">
        <v>82</v>
      </c>
      <c r="C14" s="9">
        <f>B14*297</f>
        <v/>
      </c>
      <c r="D14" s="8" t="n">
        <v>25</v>
      </c>
      <c r="E14" s="9">
        <f>D14*597</f>
        <v/>
      </c>
      <c r="F14" s="8" t="n">
        <v>3</v>
      </c>
      <c r="G14" s="9">
        <f>F14*1497</f>
        <v/>
      </c>
      <c r="H14" s="9">
        <f>C14+E14+G14</f>
        <v/>
      </c>
    </row>
    <row r="15">
      <c r="A15" s="7" t="inlineStr">
        <is>
          <t>Mês 12</t>
        </is>
      </c>
      <c r="B15" s="8" t="n">
        <v>94</v>
      </c>
      <c r="C15" s="9">
        <f>B15*297</f>
        <v/>
      </c>
      <c r="D15" s="8" t="n">
        <v>29</v>
      </c>
      <c r="E15" s="9">
        <f>D15*597</f>
        <v/>
      </c>
      <c r="F15" s="8" t="n">
        <v>3</v>
      </c>
      <c r="G15" s="9">
        <f>F15*1497</f>
        <v/>
      </c>
      <c r="H15" s="9">
        <f>C15+E15+G15</f>
        <v/>
      </c>
    </row>
    <row r="16">
      <c r="A16" s="12" t="inlineStr">
        <is>
          <t>Total Ano 1</t>
        </is>
      </c>
      <c r="B16" s="8" t="n">
        <v>109</v>
      </c>
      <c r="C16" s="13">
        <f>SUM(C4:C15)</f>
        <v/>
      </c>
      <c r="D16" s="8" t="n">
        <v>35</v>
      </c>
      <c r="E16" s="13">
        <f>SUM(E4:E15)</f>
        <v/>
      </c>
      <c r="F16" s="8" t="n">
        <v>3</v>
      </c>
      <c r="G16" s="13">
        <f>SUM(G4:G15)</f>
        <v/>
      </c>
      <c r="H16" s="13">
        <f>SUM(H4:H15)</f>
        <v/>
      </c>
    </row>
    <row r="17">
      <c r="A17" s="7" t="inlineStr">
        <is>
          <t>Mês 14</t>
        </is>
      </c>
      <c r="B17" s="8" t="n">
        <v>125</v>
      </c>
      <c r="C17" s="9">
        <f>B17*297</f>
        <v/>
      </c>
      <c r="D17" s="8" t="n">
        <v>41</v>
      </c>
      <c r="E17" s="9">
        <f>D17*597</f>
        <v/>
      </c>
      <c r="F17" s="8" t="n">
        <v>3</v>
      </c>
      <c r="G17" s="9">
        <f>F17*1497</f>
        <v/>
      </c>
      <c r="H17" s="9">
        <f>C17+E17+G17</f>
        <v/>
      </c>
    </row>
    <row r="18">
      <c r="A18" s="7" t="inlineStr">
        <is>
          <t>Mês 15</t>
        </is>
      </c>
      <c r="B18" s="8" t="n">
        <v>143</v>
      </c>
      <c r="C18" s="9">
        <f>B18*297</f>
        <v/>
      </c>
      <c r="D18" s="8" t="n">
        <v>48</v>
      </c>
      <c r="E18" s="9">
        <f>D18*597</f>
        <v/>
      </c>
      <c r="F18" s="8" t="n">
        <v>3</v>
      </c>
      <c r="G18" s="9">
        <f>F18*1497</f>
        <v/>
      </c>
      <c r="H18" s="9">
        <f>C18+E18+G18</f>
        <v/>
      </c>
    </row>
    <row r="19">
      <c r="A19" s="7" t="inlineStr">
        <is>
          <t>Mês 16</t>
        </is>
      </c>
      <c r="B19" s="8" t="n">
        <v>164</v>
      </c>
      <c r="C19" s="9">
        <f>B19*297</f>
        <v/>
      </c>
      <c r="D19" s="8" t="n">
        <v>56</v>
      </c>
      <c r="E19" s="9">
        <f>D19*597</f>
        <v/>
      </c>
      <c r="F19" s="8" t="n">
        <v>4</v>
      </c>
      <c r="G19" s="9">
        <f>F19*1497</f>
        <v/>
      </c>
      <c r="H19" s="9">
        <f>C19+E19+G19</f>
        <v/>
      </c>
    </row>
    <row r="20">
      <c r="A20" s="7" t="inlineStr">
        <is>
          <t>Mês 17</t>
        </is>
      </c>
      <c r="B20" s="8" t="n">
        <v>186</v>
      </c>
      <c r="C20" s="9">
        <f>B20*297</f>
        <v/>
      </c>
      <c r="D20" s="8" t="n">
        <v>66</v>
      </c>
      <c r="E20" s="9">
        <f>D20*597</f>
        <v/>
      </c>
      <c r="F20" s="8" t="n">
        <v>4</v>
      </c>
      <c r="G20" s="9">
        <f>F20*1497</f>
        <v/>
      </c>
      <c r="H20" s="9">
        <f>C20+E20+G20</f>
        <v/>
      </c>
    </row>
    <row r="21">
      <c r="A21" s="7" t="inlineStr">
        <is>
          <t>Mês 18</t>
        </is>
      </c>
      <c r="B21" s="8" t="n">
        <v>211</v>
      </c>
      <c r="C21" s="9">
        <f>B21*297</f>
        <v/>
      </c>
      <c r="D21" s="8" t="n">
        <v>76</v>
      </c>
      <c r="E21" s="9">
        <f>D21*597</f>
        <v/>
      </c>
      <c r="F21" s="8" t="n">
        <v>4</v>
      </c>
      <c r="G21" s="9">
        <f>F21*1497</f>
        <v/>
      </c>
      <c r="H21" s="9">
        <f>C21+E21+G21</f>
        <v/>
      </c>
    </row>
    <row r="22">
      <c r="A22" s="7" t="inlineStr">
        <is>
          <t>Mês 19</t>
        </is>
      </c>
      <c r="B22" s="8" t="n">
        <v>240</v>
      </c>
      <c r="C22" s="9">
        <f>B22*297</f>
        <v/>
      </c>
      <c r="D22" s="8" t="n">
        <v>88</v>
      </c>
      <c r="E22" s="9">
        <f>D22*597</f>
        <v/>
      </c>
      <c r="F22" s="8" t="n">
        <v>4</v>
      </c>
      <c r="G22" s="9">
        <f>F22*1497</f>
        <v/>
      </c>
      <c r="H22" s="9">
        <f>C22+E22+G22</f>
        <v/>
      </c>
    </row>
    <row r="23">
      <c r="A23" s="7" t="inlineStr">
        <is>
          <t>Mês 20</t>
        </is>
      </c>
      <c r="B23" s="8" t="n">
        <v>271</v>
      </c>
      <c r="C23" s="9">
        <f>B23*297</f>
        <v/>
      </c>
      <c r="D23" s="8" t="n">
        <v>102</v>
      </c>
      <c r="E23" s="9">
        <f>D23*597</f>
        <v/>
      </c>
      <c r="F23" s="8" t="n">
        <v>4</v>
      </c>
      <c r="G23" s="9">
        <f>F23*1497</f>
        <v/>
      </c>
      <c r="H23" s="9">
        <f>C23+E23+G23</f>
        <v/>
      </c>
    </row>
    <row r="24">
      <c r="A24" s="7" t="inlineStr">
        <is>
          <t>Mês 21</t>
        </is>
      </c>
      <c r="B24" s="8" t="n">
        <v>306</v>
      </c>
      <c r="C24" s="9">
        <f>B24*297</f>
        <v/>
      </c>
      <c r="D24" s="8" t="n">
        <v>119</v>
      </c>
      <c r="E24" s="9">
        <f>D24*597</f>
        <v/>
      </c>
      <c r="F24" s="8" t="n">
        <v>5</v>
      </c>
      <c r="G24" s="9">
        <f>F24*1497</f>
        <v/>
      </c>
      <c r="H24" s="9">
        <f>C24+E24+G24</f>
        <v/>
      </c>
    </row>
    <row r="25">
      <c r="A25" s="7" t="inlineStr">
        <is>
          <t>Mês 22</t>
        </is>
      </c>
      <c r="B25" s="8" t="n">
        <v>346</v>
      </c>
      <c r="C25" s="9">
        <f>B25*297</f>
        <v/>
      </c>
      <c r="D25" s="8" t="n">
        <v>137</v>
      </c>
      <c r="E25" s="9">
        <f>D25*597</f>
        <v/>
      </c>
      <c r="F25" s="8" t="n">
        <v>5</v>
      </c>
      <c r="G25" s="9">
        <f>F25*1497</f>
        <v/>
      </c>
      <c r="H25" s="9">
        <f>C25+E25+G25</f>
        <v/>
      </c>
    </row>
    <row r="26">
      <c r="A26" s="7" t="inlineStr">
        <is>
          <t>Mês 23</t>
        </is>
      </c>
      <c r="B26" s="8" t="n">
        <v>390</v>
      </c>
      <c r="C26" s="9">
        <f>B26*297</f>
        <v/>
      </c>
      <c r="D26" s="8" t="n">
        <v>158</v>
      </c>
      <c r="E26" s="9">
        <f>D26*597</f>
        <v/>
      </c>
      <c r="F26" s="8" t="n">
        <v>5</v>
      </c>
      <c r="G26" s="9">
        <f>F26*1497</f>
        <v/>
      </c>
      <c r="H26" s="9">
        <f>C26+E26+G26</f>
        <v/>
      </c>
    </row>
    <row r="27">
      <c r="A27" s="7" t="inlineStr">
        <is>
          <t>Mês 24</t>
        </is>
      </c>
      <c r="B27" s="8" t="n">
        <v>439</v>
      </c>
      <c r="C27" s="9">
        <f>B27*297</f>
        <v/>
      </c>
      <c r="D27" s="8" t="n">
        <v>182</v>
      </c>
      <c r="E27" s="9">
        <f>D27*597</f>
        <v/>
      </c>
      <c r="F27" s="8" t="n">
        <v>5</v>
      </c>
      <c r="G27" s="9">
        <f>F27*1497</f>
        <v/>
      </c>
      <c r="H27" s="9">
        <f>C27+E27+G27</f>
        <v/>
      </c>
    </row>
    <row r="28">
      <c r="A28" s="12" t="inlineStr">
        <is>
          <t>Total Ano 2</t>
        </is>
      </c>
      <c r="B28" s="8" t="n">
        <v>495</v>
      </c>
      <c r="C28" s="13">
        <f>SUM(C16:C27)</f>
        <v/>
      </c>
      <c r="D28" s="8" t="n">
        <v>211</v>
      </c>
      <c r="E28" s="13">
        <f>SUM(E16:E27)</f>
        <v/>
      </c>
      <c r="F28" s="8" t="n">
        <v>5</v>
      </c>
      <c r="G28" s="13">
        <f>SUM(G16:G27)</f>
        <v/>
      </c>
      <c r="H28" s="13">
        <f>SUM(H16:H27)</f>
        <v/>
      </c>
    </row>
    <row r="29">
      <c r="A29" s="7" t="inlineStr">
        <is>
          <t>Mês 26</t>
        </is>
      </c>
      <c r="B29" s="8" t="n">
        <v>557</v>
      </c>
      <c r="C29" s="9">
        <f>B29*297</f>
        <v/>
      </c>
      <c r="D29" s="8" t="n">
        <v>243</v>
      </c>
      <c r="E29" s="9">
        <f>D29*597</f>
        <v/>
      </c>
      <c r="F29" s="8" t="n">
        <v>6</v>
      </c>
      <c r="G29" s="9">
        <f>F29*1497</f>
        <v/>
      </c>
      <c r="H29" s="9">
        <f>C29+E29+G29</f>
        <v/>
      </c>
    </row>
    <row r="30">
      <c r="A30" s="7" t="inlineStr">
        <is>
          <t>Mês 27</t>
        </is>
      </c>
      <c r="B30" s="8" t="n">
        <v>626</v>
      </c>
      <c r="C30" s="9">
        <f>B30*297</f>
        <v/>
      </c>
      <c r="D30" s="8" t="n">
        <v>280</v>
      </c>
      <c r="E30" s="9">
        <f>D30*597</f>
        <v/>
      </c>
      <c r="F30" s="8" t="n">
        <v>6</v>
      </c>
      <c r="G30" s="9">
        <f>F30*1497</f>
        <v/>
      </c>
      <c r="H30" s="9">
        <f>C30+E30+G30</f>
        <v/>
      </c>
    </row>
    <row r="31">
      <c r="A31" s="7" t="inlineStr">
        <is>
          <t>Mês 28</t>
        </is>
      </c>
      <c r="B31" s="8" t="n">
        <v>705</v>
      </c>
      <c r="C31" s="9">
        <f>B31*297</f>
        <v/>
      </c>
      <c r="D31" s="8" t="n">
        <v>323</v>
      </c>
      <c r="E31" s="9">
        <f>D31*597</f>
        <v/>
      </c>
      <c r="F31" s="8" t="n">
        <v>6</v>
      </c>
      <c r="G31" s="9">
        <f>F31*1497</f>
        <v/>
      </c>
      <c r="H31" s="9">
        <f>C31+E31+G31</f>
        <v/>
      </c>
    </row>
    <row r="32">
      <c r="A32" s="7" t="inlineStr">
        <is>
          <t>Mês 29</t>
        </is>
      </c>
      <c r="B32" s="8" t="n">
        <v>792</v>
      </c>
      <c r="C32" s="9">
        <f>B32*297</f>
        <v/>
      </c>
      <c r="D32" s="8" t="n">
        <v>373</v>
      </c>
      <c r="E32" s="9">
        <f>D32*597</f>
        <v/>
      </c>
      <c r="F32" s="8" t="n">
        <v>6</v>
      </c>
      <c r="G32" s="9">
        <f>F32*1497</f>
        <v/>
      </c>
      <c r="H32" s="9">
        <f>C32+E32+G32</f>
        <v/>
      </c>
    </row>
    <row r="33">
      <c r="A33" s="7" t="inlineStr">
        <is>
          <t>Mês 30</t>
        </is>
      </c>
      <c r="B33" s="8" t="n">
        <v>890</v>
      </c>
      <c r="C33" s="9">
        <f>B33*297</f>
        <v/>
      </c>
      <c r="D33" s="8" t="n">
        <v>429</v>
      </c>
      <c r="E33" s="9">
        <f>D33*597</f>
        <v/>
      </c>
      <c r="F33" s="8" t="n">
        <v>6</v>
      </c>
      <c r="G33" s="9">
        <f>F33*1497</f>
        <v/>
      </c>
      <c r="H33" s="9">
        <f>C33+E33+G33</f>
        <v/>
      </c>
    </row>
    <row r="34">
      <c r="A34" s="7" t="inlineStr">
        <is>
          <t>Mês 31</t>
        </is>
      </c>
      <c r="B34" s="8" t="n">
        <v>1000</v>
      </c>
      <c r="C34" s="9">
        <f>B34*297</f>
        <v/>
      </c>
      <c r="D34" s="8" t="n">
        <v>494</v>
      </c>
      <c r="E34" s="9">
        <f>D34*597</f>
        <v/>
      </c>
      <c r="F34" s="8" t="n">
        <v>7</v>
      </c>
      <c r="G34" s="9">
        <f>F34*1497</f>
        <v/>
      </c>
      <c r="H34" s="9">
        <f>C34+E34+G34</f>
        <v/>
      </c>
    </row>
    <row r="35">
      <c r="A35" s="7" t="inlineStr">
        <is>
          <t>Mês 32</t>
        </is>
      </c>
      <c r="B35" s="8" t="n">
        <v>1123</v>
      </c>
      <c r="C35" s="9">
        <f>B35*297</f>
        <v/>
      </c>
      <c r="D35" s="8" t="n">
        <v>569</v>
      </c>
      <c r="E35" s="9">
        <f>D35*597</f>
        <v/>
      </c>
      <c r="F35" s="8" t="n">
        <v>7</v>
      </c>
      <c r="G35" s="9">
        <f>F35*1497</f>
        <v/>
      </c>
      <c r="H35" s="9">
        <f>C35+E35+G35</f>
        <v/>
      </c>
    </row>
    <row r="36">
      <c r="A36" s="7" t="inlineStr">
        <is>
          <t>Mês 33</t>
        </is>
      </c>
      <c r="B36" s="8" t="n">
        <v>1260</v>
      </c>
      <c r="C36" s="9">
        <f>B36*297</f>
        <v/>
      </c>
      <c r="D36" s="8" t="n">
        <v>656</v>
      </c>
      <c r="E36" s="9">
        <f>D36*597</f>
        <v/>
      </c>
      <c r="F36" s="8" t="n">
        <v>7</v>
      </c>
      <c r="G36" s="9">
        <f>F36*1497</f>
        <v/>
      </c>
      <c r="H36" s="9">
        <f>C36+E36+G36</f>
        <v/>
      </c>
    </row>
    <row r="37">
      <c r="A37" s="7" t="inlineStr">
        <is>
          <t>Mês 34</t>
        </is>
      </c>
      <c r="B37" s="8" t="n">
        <v>1415</v>
      </c>
      <c r="C37" s="9">
        <f>B37*297</f>
        <v/>
      </c>
      <c r="D37" s="8" t="n">
        <v>755</v>
      </c>
      <c r="E37" s="9">
        <f>D37*597</f>
        <v/>
      </c>
      <c r="F37" s="8" t="n">
        <v>7</v>
      </c>
      <c r="G37" s="9">
        <f>F37*1497</f>
        <v/>
      </c>
      <c r="H37" s="9">
        <f>C37+E37+G37</f>
        <v/>
      </c>
    </row>
    <row r="38">
      <c r="A38" s="7" t="inlineStr">
        <is>
          <t>Mês 35</t>
        </is>
      </c>
      <c r="B38" s="8" t="n">
        <v>1587</v>
      </c>
      <c r="C38" s="9">
        <f>B38*297</f>
        <v/>
      </c>
      <c r="D38" s="8" t="n">
        <v>869</v>
      </c>
      <c r="E38" s="9">
        <f>D38*597</f>
        <v/>
      </c>
      <c r="F38" s="8" t="n">
        <v>7</v>
      </c>
      <c r="G38" s="9">
        <f>F38*1497</f>
        <v/>
      </c>
      <c r="H38" s="9">
        <f>C38+E38+G38</f>
        <v/>
      </c>
    </row>
    <row r="39">
      <c r="A39" s="7" t="inlineStr">
        <is>
          <t>Mês 36</t>
        </is>
      </c>
      <c r="B39" s="8" t="n">
        <v>1780</v>
      </c>
      <c r="C39" s="9">
        <f>B39*297</f>
        <v/>
      </c>
      <c r="D39" s="8" t="n">
        <v>1000</v>
      </c>
      <c r="E39" s="9">
        <f>D39*597</f>
        <v/>
      </c>
      <c r="F39" s="8" t="n">
        <v>8</v>
      </c>
      <c r="G39" s="9">
        <f>F39*1497</f>
        <v/>
      </c>
      <c r="H39" s="9">
        <f>C39+E39+G39</f>
        <v/>
      </c>
    </row>
    <row r="40">
      <c r="A40" s="14" t="inlineStr">
        <is>
          <t>Total Ano 3</t>
        </is>
      </c>
      <c r="C40" s="13">
        <f>SUM(C28:C39)</f>
        <v/>
      </c>
      <c r="E40" s="13">
        <f>SUM(E28:E39)</f>
        <v/>
      </c>
      <c r="G40" s="13">
        <f>SUM(G28:G39)</f>
        <v/>
      </c>
      <c r="H40" s="13">
        <f>SUM(H28:H39)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Estrutura de Custos — 36 Meses</t>
        </is>
      </c>
    </row>
    <row r="3">
      <c r="A3" s="6" t="inlineStr">
        <is>
          <t>Mes</t>
        </is>
      </c>
      <c r="B3" s="6" t="inlineStr">
        <is>
          <t>Cloud (AWS)</t>
        </is>
      </c>
      <c r="C3" s="6" t="inlineStr">
        <is>
          <t>Equipe</t>
        </is>
      </c>
      <c r="D3" s="6" t="inlineStr">
        <is>
          <t>Marketing</t>
        </is>
      </c>
      <c r="E3" s="6" t="inlineStr">
        <is>
          <t>Suporte</t>
        </is>
      </c>
      <c r="F3" s="6" t="inlineStr">
        <is>
          <t>Escritorio</t>
        </is>
      </c>
      <c r="G3" s="6" t="inlineStr">
        <is>
          <t>Custo Total</t>
        </is>
      </c>
    </row>
    <row r="4">
      <c r="A4" t="inlineStr">
        <is>
          <t>Mês 1</t>
        </is>
      </c>
      <c r="B4" s="9" t="n">
        <v>2500</v>
      </c>
      <c r="C4" s="9" t="n">
        <v>80000</v>
      </c>
      <c r="D4" s="9" t="n">
        <v>15000</v>
      </c>
      <c r="E4" s="9" t="n">
        <v>8000</v>
      </c>
      <c r="F4" s="9" t="n">
        <v>5000</v>
      </c>
      <c r="G4" s="9">
        <f>SUM(B4:F4)</f>
        <v/>
      </c>
    </row>
    <row r="5">
      <c r="A5" t="inlineStr">
        <is>
          <t>Mês 2</t>
        </is>
      </c>
      <c r="B5" s="9" t="n">
        <v>2625</v>
      </c>
      <c r="C5" s="9" t="n">
        <v>84000</v>
      </c>
      <c r="D5" s="9" t="n">
        <v>16200</v>
      </c>
      <c r="E5" s="9" t="n">
        <v>8400</v>
      </c>
      <c r="F5" s="9" t="n">
        <v>5000</v>
      </c>
      <c r="G5" s="9">
        <f>SUM(B5:F5)</f>
        <v/>
      </c>
    </row>
    <row r="6">
      <c r="A6" t="inlineStr">
        <is>
          <t>Mês 3</t>
        </is>
      </c>
      <c r="B6" s="9" t="n">
        <v>2750</v>
      </c>
      <c r="C6" s="9" t="n">
        <v>88000</v>
      </c>
      <c r="D6" s="9" t="n">
        <v>17400</v>
      </c>
      <c r="E6" s="9" t="n">
        <v>8800</v>
      </c>
      <c r="F6" s="9" t="n">
        <v>5000</v>
      </c>
      <c r="G6" s="9">
        <f>SUM(B6:F6)</f>
        <v/>
      </c>
    </row>
    <row r="7">
      <c r="A7" t="inlineStr">
        <is>
          <t>Mês 4</t>
        </is>
      </c>
      <c r="B7" s="9" t="n">
        <v>2875</v>
      </c>
      <c r="C7" s="9" t="n">
        <v>92000</v>
      </c>
      <c r="D7" s="9" t="n">
        <v>18600</v>
      </c>
      <c r="E7" s="9" t="n">
        <v>9200</v>
      </c>
      <c r="F7" s="9" t="n">
        <v>5000</v>
      </c>
      <c r="G7" s="9">
        <f>SUM(B7:F7)</f>
        <v/>
      </c>
    </row>
    <row r="8">
      <c r="A8" t="inlineStr">
        <is>
          <t>Mês 5</t>
        </is>
      </c>
      <c r="B8" s="9" t="n">
        <v>3000</v>
      </c>
      <c r="C8" s="9" t="n">
        <v>96000</v>
      </c>
      <c r="D8" s="9" t="n">
        <v>19800</v>
      </c>
      <c r="E8" s="9" t="n">
        <v>9600</v>
      </c>
      <c r="F8" s="9" t="n">
        <v>5000</v>
      </c>
      <c r="G8" s="9">
        <f>SUM(B8:F8)</f>
        <v/>
      </c>
    </row>
    <row r="9">
      <c r="A9" t="inlineStr">
        <is>
          <t>Mês 6</t>
        </is>
      </c>
      <c r="B9" s="9" t="n">
        <v>3125</v>
      </c>
      <c r="C9" s="9" t="n">
        <v>100000</v>
      </c>
      <c r="D9" s="9" t="n">
        <v>21000</v>
      </c>
      <c r="E9" s="9" t="n">
        <v>10000</v>
      </c>
      <c r="F9" s="9" t="n">
        <v>5000</v>
      </c>
      <c r="G9" s="9">
        <f>SUM(B9:F9)</f>
        <v/>
      </c>
    </row>
    <row r="10">
      <c r="A10" t="inlineStr">
        <is>
          <t>Mês 7</t>
        </is>
      </c>
      <c r="B10" s="9" t="n">
        <v>3250</v>
      </c>
      <c r="C10" s="9" t="n">
        <v>104000</v>
      </c>
      <c r="D10" s="9" t="n">
        <v>22200</v>
      </c>
      <c r="E10" s="9" t="n">
        <v>10400</v>
      </c>
      <c r="F10" s="9" t="n">
        <v>5000</v>
      </c>
      <c r="G10" s="9">
        <f>SUM(B10:F10)</f>
        <v/>
      </c>
    </row>
    <row r="11">
      <c r="A11" t="inlineStr">
        <is>
          <t>Mês 8</t>
        </is>
      </c>
      <c r="B11" s="9" t="n">
        <v>3375</v>
      </c>
      <c r="C11" s="9" t="n">
        <v>108000</v>
      </c>
      <c r="D11" s="9" t="n">
        <v>23400</v>
      </c>
      <c r="E11" s="9" t="n">
        <v>10800</v>
      </c>
      <c r="F11" s="9" t="n">
        <v>5000</v>
      </c>
      <c r="G11" s="9">
        <f>SUM(B11:F11)</f>
        <v/>
      </c>
    </row>
    <row r="12">
      <c r="A12" t="inlineStr">
        <is>
          <t>Mês 9</t>
        </is>
      </c>
      <c r="B12" s="9" t="n">
        <v>3500</v>
      </c>
      <c r="C12" s="9" t="n">
        <v>112000</v>
      </c>
      <c r="D12" s="9" t="n">
        <v>24600</v>
      </c>
      <c r="E12" s="9" t="n">
        <v>11200</v>
      </c>
      <c r="F12" s="9" t="n">
        <v>5000</v>
      </c>
      <c r="G12" s="9">
        <f>SUM(B12:F12)</f>
        <v/>
      </c>
    </row>
    <row r="13">
      <c r="A13" t="inlineStr">
        <is>
          <t>Mês 10</t>
        </is>
      </c>
      <c r="B13" s="9" t="n">
        <v>3625</v>
      </c>
      <c r="C13" s="9" t="n">
        <v>116000</v>
      </c>
      <c r="D13" s="9" t="n">
        <v>25800</v>
      </c>
      <c r="E13" s="9" t="n">
        <v>11600</v>
      </c>
      <c r="F13" s="9" t="n">
        <v>5000</v>
      </c>
      <c r="G13" s="9">
        <f>SUM(B13:F13)</f>
        <v/>
      </c>
    </row>
    <row r="14">
      <c r="A14" t="inlineStr">
        <is>
          <t>Mês 11</t>
        </is>
      </c>
      <c r="B14" s="9" t="n">
        <v>3750</v>
      </c>
      <c r="C14" s="9" t="n">
        <v>120000</v>
      </c>
      <c r="D14" s="9" t="n">
        <v>27000</v>
      </c>
      <c r="E14" s="9" t="n">
        <v>12000</v>
      </c>
      <c r="F14" s="9" t="n">
        <v>5000</v>
      </c>
      <c r="G14" s="9">
        <f>SUM(B14:F14)</f>
        <v/>
      </c>
    </row>
    <row r="15">
      <c r="A15" t="inlineStr">
        <is>
          <t>Mês 12</t>
        </is>
      </c>
      <c r="B15" s="9" t="n">
        <v>3875</v>
      </c>
      <c r="C15" s="9" t="n">
        <v>124000</v>
      </c>
      <c r="D15" s="9" t="n">
        <v>28200</v>
      </c>
      <c r="E15" s="9" t="n">
        <v>12400</v>
      </c>
      <c r="F15" s="9" t="n">
        <v>5000</v>
      </c>
      <c r="G15" s="9">
        <f>SUM(B15:F15)</f>
        <v/>
      </c>
    </row>
    <row r="16">
      <c r="A16" t="inlineStr">
        <is>
          <t>Mês 13</t>
        </is>
      </c>
      <c r="B16" s="9" t="n">
        <v>4000</v>
      </c>
      <c r="C16" s="9" t="n">
        <v>128000</v>
      </c>
      <c r="D16" s="9" t="n">
        <v>29400</v>
      </c>
      <c r="E16" s="9" t="n">
        <v>12800</v>
      </c>
      <c r="F16" s="9" t="n">
        <v>5000</v>
      </c>
      <c r="G16" s="9">
        <f>SUM(B16:F16)</f>
        <v/>
      </c>
    </row>
    <row r="17">
      <c r="A17" t="inlineStr">
        <is>
          <t>Mês 14</t>
        </is>
      </c>
      <c r="B17" s="9" t="n">
        <v>4125</v>
      </c>
      <c r="C17" s="9" t="n">
        <v>132000</v>
      </c>
      <c r="D17" s="9" t="n">
        <v>30600</v>
      </c>
      <c r="E17" s="9" t="n">
        <v>13200</v>
      </c>
      <c r="F17" s="9" t="n">
        <v>5000</v>
      </c>
      <c r="G17" s="9">
        <f>SUM(B17:F17)</f>
        <v/>
      </c>
    </row>
    <row r="18">
      <c r="A18" t="inlineStr">
        <is>
          <t>Mês 15</t>
        </is>
      </c>
      <c r="B18" s="9" t="n">
        <v>4250</v>
      </c>
      <c r="C18" s="9" t="n">
        <v>136000</v>
      </c>
      <c r="D18" s="9" t="n">
        <v>31800</v>
      </c>
      <c r="E18" s="9" t="n">
        <v>13600</v>
      </c>
      <c r="F18" s="9" t="n">
        <v>5000</v>
      </c>
      <c r="G18" s="9">
        <f>SUM(B18:F18)</f>
        <v/>
      </c>
    </row>
    <row r="19">
      <c r="A19" t="inlineStr">
        <is>
          <t>Mês 16</t>
        </is>
      </c>
      <c r="B19" s="9" t="n">
        <v>4375</v>
      </c>
      <c r="C19" s="9" t="n">
        <v>140000</v>
      </c>
      <c r="D19" s="9" t="n">
        <v>33000</v>
      </c>
      <c r="E19" s="9" t="n">
        <v>14000</v>
      </c>
      <c r="F19" s="9" t="n">
        <v>5000</v>
      </c>
      <c r="G19" s="9">
        <f>SUM(B19:F19)</f>
        <v/>
      </c>
    </row>
    <row r="20">
      <c r="A20" t="inlineStr">
        <is>
          <t>Mês 17</t>
        </is>
      </c>
      <c r="B20" s="9" t="n">
        <v>4500</v>
      </c>
      <c r="C20" s="9" t="n">
        <v>144000</v>
      </c>
      <c r="D20" s="9" t="n">
        <v>34200</v>
      </c>
      <c r="E20" s="9" t="n">
        <v>14400</v>
      </c>
      <c r="F20" s="9" t="n">
        <v>5000</v>
      </c>
      <c r="G20" s="9">
        <f>SUM(B20:F20)</f>
        <v/>
      </c>
    </row>
    <row r="21">
      <c r="A21" t="inlineStr">
        <is>
          <t>Mês 18</t>
        </is>
      </c>
      <c r="B21" s="9" t="n">
        <v>4625</v>
      </c>
      <c r="C21" s="9" t="n">
        <v>148000</v>
      </c>
      <c r="D21" s="9" t="n">
        <v>35400</v>
      </c>
      <c r="E21" s="9" t="n">
        <v>14800</v>
      </c>
      <c r="F21" s="9" t="n">
        <v>5000</v>
      </c>
      <c r="G21" s="9">
        <f>SUM(B21:F21)</f>
        <v/>
      </c>
    </row>
    <row r="22">
      <c r="A22" t="inlineStr">
        <is>
          <t>Mês 19</t>
        </is>
      </c>
      <c r="B22" s="9" t="n">
        <v>4750</v>
      </c>
      <c r="C22" s="9" t="n">
        <v>152000</v>
      </c>
      <c r="D22" s="9" t="n">
        <v>36600</v>
      </c>
      <c r="E22" s="9" t="n">
        <v>15200</v>
      </c>
      <c r="F22" s="9" t="n">
        <v>5000</v>
      </c>
      <c r="G22" s="9">
        <f>SUM(B22:F22)</f>
        <v/>
      </c>
    </row>
    <row r="23">
      <c r="A23" t="inlineStr">
        <is>
          <t>Mês 20</t>
        </is>
      </c>
      <c r="B23" s="9" t="n">
        <v>4875</v>
      </c>
      <c r="C23" s="9" t="n">
        <v>156000</v>
      </c>
      <c r="D23" s="9" t="n">
        <v>37800</v>
      </c>
      <c r="E23" s="9" t="n">
        <v>15600</v>
      </c>
      <c r="F23" s="9" t="n">
        <v>5000</v>
      </c>
      <c r="G23" s="9">
        <f>SUM(B23:F23)</f>
        <v/>
      </c>
    </row>
    <row r="24">
      <c r="A24" t="inlineStr">
        <is>
          <t>Mês 21</t>
        </is>
      </c>
      <c r="B24" s="9" t="n">
        <v>5000</v>
      </c>
      <c r="C24" s="9" t="n">
        <v>160000</v>
      </c>
      <c r="D24" s="9" t="n">
        <v>39000</v>
      </c>
      <c r="E24" s="9" t="n">
        <v>16000</v>
      </c>
      <c r="F24" s="9" t="n">
        <v>5000</v>
      </c>
      <c r="G24" s="9">
        <f>SUM(B24:F24)</f>
        <v/>
      </c>
    </row>
    <row r="25">
      <c r="A25" t="inlineStr">
        <is>
          <t>Mês 22</t>
        </is>
      </c>
      <c r="B25" s="9" t="n">
        <v>5125</v>
      </c>
      <c r="C25" s="9" t="n">
        <v>164000</v>
      </c>
      <c r="D25" s="9" t="n">
        <v>40199</v>
      </c>
      <c r="E25" s="9" t="n">
        <v>16400</v>
      </c>
      <c r="F25" s="9" t="n">
        <v>5000</v>
      </c>
      <c r="G25" s="9">
        <f>SUM(B25:F25)</f>
        <v/>
      </c>
    </row>
    <row r="26">
      <c r="A26" t="inlineStr">
        <is>
          <t>Mês 23</t>
        </is>
      </c>
      <c r="B26" s="9" t="n">
        <v>5250</v>
      </c>
      <c r="C26" s="9" t="n">
        <v>168000</v>
      </c>
      <c r="D26" s="9" t="n">
        <v>41400</v>
      </c>
      <c r="E26" s="9" t="n">
        <v>16800</v>
      </c>
      <c r="F26" s="9" t="n">
        <v>5000</v>
      </c>
      <c r="G26" s="9">
        <f>SUM(B26:F26)</f>
        <v/>
      </c>
    </row>
    <row r="27">
      <c r="A27" t="inlineStr">
        <is>
          <t>Mês 24</t>
        </is>
      </c>
      <c r="B27" s="9" t="n">
        <v>5375</v>
      </c>
      <c r="C27" s="9" t="n">
        <v>172000</v>
      </c>
      <c r="D27" s="9" t="n">
        <v>42600</v>
      </c>
      <c r="E27" s="9" t="n">
        <v>17200</v>
      </c>
      <c r="F27" s="9" t="n">
        <v>5000</v>
      </c>
      <c r="G27" s="9">
        <f>SUM(B27:F27)</f>
        <v/>
      </c>
    </row>
    <row r="28">
      <c r="A28" t="inlineStr">
        <is>
          <t>Mês 25</t>
        </is>
      </c>
      <c r="B28" s="9" t="n">
        <v>5500</v>
      </c>
      <c r="C28" s="9" t="n">
        <v>176000</v>
      </c>
      <c r="D28" s="9" t="n">
        <v>43800</v>
      </c>
      <c r="E28" s="9" t="n">
        <v>17600</v>
      </c>
      <c r="F28" s="9" t="n">
        <v>5000</v>
      </c>
      <c r="G28" s="9">
        <f>SUM(B28:F28)</f>
        <v/>
      </c>
    </row>
    <row r="29">
      <c r="A29" t="inlineStr">
        <is>
          <t>Mês 26</t>
        </is>
      </c>
      <c r="B29" s="9" t="n">
        <v>5625</v>
      </c>
      <c r="C29" s="9" t="n">
        <v>180000</v>
      </c>
      <c r="D29" s="9" t="n">
        <v>45000</v>
      </c>
      <c r="E29" s="9" t="n">
        <v>18000</v>
      </c>
      <c r="F29" s="9" t="n">
        <v>5000</v>
      </c>
      <c r="G29" s="9">
        <f>SUM(B29:F29)</f>
        <v/>
      </c>
    </row>
    <row r="30">
      <c r="A30" t="inlineStr">
        <is>
          <t>Mês 27</t>
        </is>
      </c>
      <c r="B30" s="9" t="n">
        <v>5750</v>
      </c>
      <c r="C30" s="9" t="n">
        <v>184000</v>
      </c>
      <c r="D30" s="9" t="n">
        <v>46200</v>
      </c>
      <c r="E30" s="9" t="n">
        <v>18400</v>
      </c>
      <c r="F30" s="9" t="n">
        <v>5000</v>
      </c>
      <c r="G30" s="9">
        <f>SUM(B30:F30)</f>
        <v/>
      </c>
    </row>
    <row r="31">
      <c r="A31" t="inlineStr">
        <is>
          <t>Mês 28</t>
        </is>
      </c>
      <c r="B31" s="9" t="n">
        <v>5875</v>
      </c>
      <c r="C31" s="9" t="n">
        <v>188000</v>
      </c>
      <c r="D31" s="9" t="n">
        <v>47400</v>
      </c>
      <c r="E31" s="9" t="n">
        <v>18800</v>
      </c>
      <c r="F31" s="9" t="n">
        <v>5000</v>
      </c>
      <c r="G31" s="9">
        <f>SUM(B31:F31)</f>
        <v/>
      </c>
    </row>
    <row r="32">
      <c r="A32" t="inlineStr">
        <is>
          <t>Mês 29</t>
        </is>
      </c>
      <c r="B32" s="9" t="n">
        <v>6000</v>
      </c>
      <c r="C32" s="9" t="n">
        <v>192000</v>
      </c>
      <c r="D32" s="9" t="n">
        <v>48600</v>
      </c>
      <c r="E32" s="9" t="n">
        <v>19200</v>
      </c>
      <c r="F32" s="9" t="n">
        <v>5000</v>
      </c>
      <c r="G32" s="9">
        <f>SUM(B32:F32)</f>
        <v/>
      </c>
    </row>
    <row r="33">
      <c r="A33" t="inlineStr">
        <is>
          <t>Mês 30</t>
        </is>
      </c>
      <c r="B33" s="9" t="n">
        <v>6125</v>
      </c>
      <c r="C33" s="9" t="n">
        <v>196000</v>
      </c>
      <c r="D33" s="9" t="n">
        <v>49800</v>
      </c>
      <c r="E33" s="9" t="n">
        <v>19600</v>
      </c>
      <c r="F33" s="9" t="n">
        <v>5000</v>
      </c>
      <c r="G33" s="9">
        <f>SUM(B33:F33)</f>
        <v/>
      </c>
    </row>
    <row r="34">
      <c r="A34" t="inlineStr">
        <is>
          <t>Mês 31</t>
        </is>
      </c>
      <c r="B34" s="9" t="n">
        <v>6250</v>
      </c>
      <c r="C34" s="9" t="n">
        <v>200000</v>
      </c>
      <c r="D34" s="9" t="n">
        <v>51000</v>
      </c>
      <c r="E34" s="9" t="n">
        <v>20000</v>
      </c>
      <c r="F34" s="9" t="n">
        <v>5000</v>
      </c>
      <c r="G34" s="9">
        <f>SUM(B34:F34)</f>
        <v/>
      </c>
    </row>
    <row r="35">
      <c r="A35" t="inlineStr">
        <is>
          <t>Mês 32</t>
        </is>
      </c>
      <c r="B35" s="9" t="n">
        <v>6375</v>
      </c>
      <c r="C35" s="9" t="n">
        <v>204000</v>
      </c>
      <c r="D35" s="9" t="n">
        <v>52200</v>
      </c>
      <c r="E35" s="9" t="n">
        <v>20400</v>
      </c>
      <c r="F35" s="9" t="n">
        <v>5000</v>
      </c>
      <c r="G35" s="9">
        <f>SUM(B35:F35)</f>
        <v/>
      </c>
    </row>
    <row r="36">
      <c r="A36" t="inlineStr">
        <is>
          <t>Mês 33</t>
        </is>
      </c>
      <c r="B36" s="9" t="n">
        <v>6500</v>
      </c>
      <c r="C36" s="9" t="n">
        <v>208000</v>
      </c>
      <c r="D36" s="9" t="n">
        <v>53400</v>
      </c>
      <c r="E36" s="9" t="n">
        <v>20800</v>
      </c>
      <c r="F36" s="9" t="n">
        <v>5000</v>
      </c>
      <c r="G36" s="9">
        <f>SUM(B36:F36)</f>
        <v/>
      </c>
    </row>
    <row r="37">
      <c r="A37" t="inlineStr">
        <is>
          <t>Mês 34</t>
        </is>
      </c>
      <c r="B37" s="9" t="n">
        <v>6625</v>
      </c>
      <c r="C37" s="9" t="n">
        <v>212000</v>
      </c>
      <c r="D37" s="9" t="n">
        <v>54600</v>
      </c>
      <c r="E37" s="9" t="n">
        <v>21200</v>
      </c>
      <c r="F37" s="9" t="n">
        <v>5000</v>
      </c>
      <c r="G37" s="9">
        <f>SUM(B37:F37)</f>
        <v/>
      </c>
    </row>
    <row r="38">
      <c r="A38" t="inlineStr">
        <is>
          <t>Mês 35</t>
        </is>
      </c>
      <c r="B38" s="9" t="n">
        <v>6750</v>
      </c>
      <c r="C38" s="9" t="n">
        <v>216000</v>
      </c>
      <c r="D38" s="9" t="n">
        <v>55800</v>
      </c>
      <c r="E38" s="9" t="n">
        <v>21600</v>
      </c>
      <c r="F38" s="9" t="n">
        <v>5000</v>
      </c>
      <c r="G38" s="9">
        <f>SUM(B38:F38)</f>
        <v/>
      </c>
    </row>
    <row r="39">
      <c r="A39" t="inlineStr">
        <is>
          <t>Mês 36</t>
        </is>
      </c>
      <c r="B39" s="9" t="n">
        <v>6875</v>
      </c>
      <c r="C39" s="9" t="n">
        <v>220000</v>
      </c>
      <c r="D39" s="9" t="n">
        <v>57000</v>
      </c>
      <c r="E39" s="9" t="n">
        <v>22000</v>
      </c>
      <c r="F39" s="9" t="n">
        <v>5000</v>
      </c>
      <c r="G39" s="9">
        <f>SUM(B39:F39)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35" customWidth="1" min="4" max="4"/>
  </cols>
  <sheetData>
    <row r="1">
      <c r="A1" s="1" t="inlineStr">
        <is>
          <t>Analise de Ponto de Equilibrio</t>
        </is>
      </c>
    </row>
    <row r="3">
      <c r="A3" s="6" t="inlineStr">
        <is>
          <t>Metrica</t>
        </is>
      </c>
      <c r="B3" s="6" t="inlineStr">
        <is>
          <t>Valor</t>
        </is>
      </c>
      <c r="C3" s="6" t="inlineStr">
        <is>
          <t>Unidade</t>
        </is>
      </c>
      <c r="D3" s="6" t="inlineStr">
        <is>
          <t>Observacao</t>
        </is>
      </c>
    </row>
    <row r="4">
      <c r="A4" s="15" t="inlineStr">
        <is>
          <t>Custos Fixos Mensais</t>
        </is>
      </c>
      <c r="B4" s="16" t="n">
        <v>110500</v>
      </c>
      <c r="C4" s="17" t="inlineStr">
        <is>
          <t>R$</t>
        </is>
      </c>
      <c r="D4" s="17" t="inlineStr">
        <is>
          <t>Equipe + escritorio base</t>
        </is>
      </c>
    </row>
    <row r="5">
      <c r="A5" s="15" t="inlineStr">
        <is>
          <t>Custos Variaveis (% receita)</t>
        </is>
      </c>
      <c r="B5" s="18" t="n">
        <v>0.15</v>
      </c>
      <c r="C5" s="17" t="inlineStr">
        <is>
          <t>%</t>
        </is>
      </c>
      <c r="D5" s="17" t="inlineStr">
        <is>
          <t>Cloud + suporte proporcional</t>
        </is>
      </c>
    </row>
    <row r="6">
      <c r="A6" s="15" t="inlineStr">
        <is>
          <t>Ticket Medio Mensal</t>
        </is>
      </c>
      <c r="B6" s="16" t="n">
        <v>489</v>
      </c>
      <c r="C6" s="17" t="inlineStr">
        <is>
          <t>R$</t>
        </is>
      </c>
      <c r="D6" s="17" t="inlineStr">
        <is>
          <t>Media ponderada dos 3 planos</t>
        </is>
      </c>
    </row>
    <row r="7">
      <c r="A7" s="15" t="inlineStr">
        <is>
          <t>Margem de Contribuicao</t>
        </is>
      </c>
      <c r="B7" s="18" t="n">
        <v>0.85</v>
      </c>
      <c r="C7" s="17" t="inlineStr">
        <is>
          <t>%</t>
        </is>
      </c>
      <c r="D7" s="17" t="inlineStr">
        <is>
          <t>1 - custo variavel</t>
        </is>
      </c>
    </row>
    <row r="8">
      <c r="A8" s="15" t="inlineStr">
        <is>
          <t>Ponto de Equilibrio (assinaturas)</t>
        </is>
      </c>
      <c r="B8" s="17" t="n">
        <v>267</v>
      </c>
      <c r="C8" s="17" t="inlineStr">
        <is>
          <t>clientes</t>
        </is>
      </c>
      <c r="D8" s="17" t="inlineStr">
        <is>
          <t>Custos fixos / margem contrib.</t>
        </is>
      </c>
    </row>
    <row r="9">
      <c r="A9" s="15" t="inlineStr">
        <is>
          <t>Ponto de Equilibrio (receita)</t>
        </is>
      </c>
      <c r="B9" s="17" t="n">
        <v>130563</v>
      </c>
      <c r="C9" s="17" t="inlineStr">
        <is>
          <t>R$/mes</t>
        </is>
      </c>
      <c r="D9" s="17" t="inlineStr">
        <is>
          <t>267 x R$489</t>
        </is>
      </c>
    </row>
    <row r="10">
      <c r="A10" s="15" t="inlineStr">
        <is>
          <t>Burn Rate Mensal (inicial)</t>
        </is>
      </c>
      <c r="B10" s="16" t="n">
        <v>110500</v>
      </c>
      <c r="C10" s="17" t="inlineStr">
        <is>
          <t>R$</t>
        </is>
      </c>
      <c r="D10" s="17" t="inlineStr">
        <is>
          <t>Antes do break-even</t>
        </is>
      </c>
    </row>
    <row r="11">
      <c r="A11" s="15" t="inlineStr">
        <is>
          <t>Investimento Inicial (Seed)</t>
        </is>
      </c>
      <c r="B11" s="16" t="n">
        <v>2000000</v>
      </c>
      <c r="C11" s="17" t="inlineStr">
        <is>
          <t>R$</t>
        </is>
      </c>
      <c r="D11" s="17" t="inlineStr">
        <is>
          <t>Rodada Seed</t>
        </is>
      </c>
    </row>
    <row r="12">
      <c r="A12" s="15" t="inlineStr">
        <is>
          <t>Runway</t>
        </is>
      </c>
      <c r="B12" s="17" t="n">
        <v>18</v>
      </c>
      <c r="C12" s="17" t="inlineStr">
        <is>
          <t>meses</t>
        </is>
      </c>
      <c r="D12" s="17" t="inlineStr">
        <is>
          <t>Investimento / burn rate</t>
        </is>
      </c>
    </row>
    <row r="13">
      <c r="A13" s="15" t="inlineStr">
        <is>
          <t>Mes Estimado Break-Even</t>
        </is>
      </c>
      <c r="B13" s="17" t="n">
        <v>14</v>
      </c>
      <c r="C13" s="17" t="inlineStr">
        <is>
          <t>mes</t>
        </is>
      </c>
      <c r="D13" s="17" t="inlineStr">
        <is>
          <t>Baseado na projecao de receitas</t>
        </is>
      </c>
    </row>
    <row r="14">
      <c r="A14" s="15" t="inlineStr">
        <is>
          <t>Margem de Seguranca</t>
        </is>
      </c>
      <c r="B14" s="18" t="n">
        <v>0.35</v>
      </c>
      <c r="C14" s="17" t="inlineStr">
        <is>
          <t>%</t>
        </is>
      </c>
      <c r="D14" s="17" t="inlineStr">
        <is>
          <t>Buffer para imprevistos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Rodadas de Investimento e Uso de Recursos</t>
        </is>
      </c>
    </row>
    <row r="3">
      <c r="A3" s="19" t="inlineStr">
        <is>
          <t>Seed Round — R$ 2.000.000</t>
        </is>
      </c>
    </row>
    <row r="4">
      <c r="A4" s="6" t="inlineStr">
        <is>
          <t>Categoria</t>
        </is>
      </c>
      <c r="B4" s="6" t="inlineStr">
        <is>
          <t>Percentual</t>
        </is>
      </c>
      <c r="C4" s="6" t="inlineStr">
        <is>
          <t>Valor (R$)</t>
        </is>
      </c>
      <c r="D4" s="6" t="inlineStr">
        <is>
          <t>Descricao</t>
        </is>
      </c>
    </row>
    <row r="5">
      <c r="A5" s="20" t="inlineStr">
        <is>
          <t>Produto e Engenharia</t>
        </is>
      </c>
      <c r="B5" s="21" t="n">
        <v>0.4</v>
      </c>
      <c r="C5" s="22" t="n">
        <v>800000</v>
      </c>
      <c r="D5" s="23" t="inlineStr">
        <is>
          <t>Desenvolvimento do produto core, IA, integracoes</t>
        </is>
      </c>
    </row>
    <row r="6">
      <c r="A6" s="20" t="inlineStr">
        <is>
          <t>Vendas e Marketing</t>
        </is>
      </c>
      <c r="B6" s="21" t="n">
        <v>0.3</v>
      </c>
      <c r="C6" s="22" t="n">
        <v>600000</v>
      </c>
      <c r="D6" s="23" t="inlineStr">
        <is>
          <t>Marketing digital, equipe comercial, eventos</t>
        </is>
      </c>
    </row>
    <row r="7">
      <c r="A7" s="20" t="inlineStr">
        <is>
          <t>Equipe Operacional</t>
        </is>
      </c>
      <c r="B7" s="21" t="n">
        <v>0.2</v>
      </c>
      <c r="C7" s="22" t="n">
        <v>400000</v>
      </c>
      <c r="D7" s="23" t="inlineStr">
        <is>
          <t>Contratacoes-chave, suporte, customer success</t>
        </is>
      </c>
    </row>
    <row r="8">
      <c r="A8" s="20" t="inlineStr">
        <is>
          <t>Operacoes e Legal</t>
        </is>
      </c>
      <c r="B8" s="21" t="n">
        <v>0.1</v>
      </c>
      <c r="C8" s="22" t="n">
        <v>200000</v>
      </c>
      <c r="D8" s="23" t="inlineStr">
        <is>
          <t>Infraestrutura, escritorio, juridico, contabilidade</t>
        </is>
      </c>
    </row>
    <row r="9">
      <c r="A9" s="24" t="inlineStr">
        <is>
          <t>TOTAL</t>
        </is>
      </c>
      <c r="B9" s="25">
        <f>SUM(B5:B8)</f>
        <v/>
      </c>
      <c r="C9" s="26">
        <f>SUM(C5:C8)</f>
        <v/>
      </c>
      <c r="D9" s="24" t="n"/>
    </row>
    <row r="11">
      <c r="A11" s="19" t="inlineStr">
        <is>
          <t>Series A (Projecao) — R$ 10.000.000</t>
        </is>
      </c>
    </row>
    <row r="12">
      <c r="A12" s="6" t="inlineStr">
        <is>
          <t>Categoria</t>
        </is>
      </c>
      <c r="B12" s="6" t="inlineStr">
        <is>
          <t>Percentual</t>
        </is>
      </c>
      <c r="C12" s="6" t="inlineStr">
        <is>
          <t>Valor (R$)</t>
        </is>
      </c>
      <c r="D12" s="6" t="inlineStr">
        <is>
          <t>Descricao</t>
        </is>
      </c>
    </row>
    <row r="13">
      <c r="A13" s="20" t="inlineStr">
        <is>
          <t>Expansao de Mercado</t>
        </is>
      </c>
      <c r="B13" s="21" t="n">
        <v>0.35</v>
      </c>
      <c r="C13" s="22" t="n">
        <v>3500000</v>
      </c>
      <c r="D13" s="23" t="inlineStr">
        <is>
          <t>Abrir mercados regionais, equipe comercial ampliada</t>
        </is>
      </c>
    </row>
    <row r="14">
      <c r="A14" s="20" t="inlineStr">
        <is>
          <t>Produto (Mobile + IoT)</t>
        </is>
      </c>
      <c r="B14" s="21" t="n">
        <v>0.25</v>
      </c>
      <c r="C14" s="22" t="n">
        <v>2500000</v>
      </c>
      <c r="D14" s="23" t="inlineStr">
        <is>
          <t>App mobile, integracao IoT, multi-propriedade</t>
        </is>
      </c>
    </row>
    <row r="15">
      <c r="A15" s="20" t="inlineStr">
        <is>
          <t>Internacionalizacao</t>
        </is>
      </c>
      <c r="B15" s="21" t="n">
        <v>0.2</v>
      </c>
      <c r="C15" s="22" t="n">
        <v>2000000</v>
      </c>
      <c r="D15" s="23" t="inlineStr">
        <is>
          <t>Expansao LATAM (Mexico, Colombia, Argentina)</t>
        </is>
      </c>
    </row>
    <row r="16">
      <c r="A16" s="20" t="inlineStr">
        <is>
          <t>Equipe e Operacoes</t>
        </is>
      </c>
      <c r="B16" s="21" t="n">
        <v>0.15</v>
      </c>
      <c r="C16" s="22" t="n">
        <v>1500000</v>
      </c>
      <c r="D16" s="23" t="inlineStr">
        <is>
          <t>C-Level, lideres de equipe, infraestrutura robusta</t>
        </is>
      </c>
    </row>
    <row r="17">
      <c r="A17" s="20" t="inlineStr">
        <is>
          <t>Reserva Estrategica</t>
        </is>
      </c>
      <c r="B17" s="21" t="n">
        <v>0.05</v>
      </c>
      <c r="C17" s="22" t="n">
        <v>500000</v>
      </c>
      <c r="D17" s="23" t="inlineStr">
        <is>
          <t>Fundo de contingencia e oportunidades</t>
        </is>
      </c>
    </row>
    <row r="20">
      <c r="A20" s="5" t="inlineStr">
        <is>
          <t>Diluição de Equity</t>
        </is>
      </c>
    </row>
    <row r="21">
      <c r="A21" s="27" t="inlineStr">
        <is>
          <t>Rodada</t>
        </is>
      </c>
      <c r="B21" s="27" t="inlineStr">
        <is>
          <t>Investimento</t>
        </is>
      </c>
      <c r="C21" s="27" t="inlineStr">
        <is>
          <t>Equity Diluido</t>
        </is>
      </c>
      <c r="D21" s="27" t="inlineStr">
        <is>
          <t>Pre-Money</t>
        </is>
      </c>
      <c r="E21" s="27" t="inlineStr">
        <is>
          <t>Post-Money</t>
        </is>
      </c>
    </row>
    <row r="22">
      <c r="A22" s="17" t="inlineStr">
        <is>
          <t>Seed</t>
        </is>
      </c>
      <c r="B22" s="17" t="inlineStr">
        <is>
          <t>R$ 2.000.000</t>
        </is>
      </c>
      <c r="C22" s="17" t="inlineStr">
        <is>
          <t>15%</t>
        </is>
      </c>
      <c r="D22" s="17" t="inlineStr">
        <is>
          <t>R$ 11.333.333</t>
        </is>
      </c>
      <c r="E22" s="17" t="inlineStr">
        <is>
          <t>R$ 13.333.333</t>
        </is>
      </c>
    </row>
    <row r="23">
      <c r="A23" s="17" t="inlineStr">
        <is>
          <t>Series A</t>
        </is>
      </c>
      <c r="B23" s="17" t="inlineStr">
        <is>
          <t>R$ 10.000.000</t>
        </is>
      </c>
      <c r="C23" s="17" t="inlineStr">
        <is>
          <t>20%</t>
        </is>
      </c>
      <c r="D23" s="17" t="inlineStr">
        <is>
          <t>R$ 40.000.000</t>
        </is>
      </c>
      <c r="E23" s="17" t="inlineStr">
        <is>
          <t>R$ 50.000.000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2026-04-21T13:53:35Z</dcterms:created>
  <dcterms:modified xmlns:dcterms="http://purl.org/dc/terms/" xmlns:xsi="http://www.w3.org/2001/XMLSchema-instance" xsi:type="dcterms:W3CDTF">2026-04-21T13:53:35Z</dcterms:modified>
</cp:coreProperties>
</file>