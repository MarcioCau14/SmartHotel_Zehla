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Resumo Financeiro" sheetId="2" r:id="rId6"/>
    <sheet state="visible" name="Receitas" sheetId="3" r:id="rId7"/>
    <sheet state="visible" name="Custos" sheetId="4" r:id="rId8"/>
    <sheet state="visible" name="Ponto de Equilibrio" sheetId="5" r:id="rId9"/>
    <sheet state="visible" name="Investimento" sheetId="6" r:id="rId10"/>
  </sheets>
  <definedNames/>
  <calcPr/>
</workbook>
</file>

<file path=xl/sharedStrings.xml><?xml version="1.0" encoding="utf-8"?>
<sst xmlns="http://schemas.openxmlformats.org/spreadsheetml/2006/main" count="210" uniqueCount="153">
  <si>
    <t>ZEHLA SmartHotel — Modelo Financeiro 2025-2028</t>
  </si>
  <si>
    <t>Cognitive Hospitality OS — Projecoes Financeiras</t>
  </si>
  <si>
    <t>Receita Anual (Ano 1)</t>
  </si>
  <si>
    <t>R$ 4.287.600</t>
  </si>
  <si>
    <t>LTV</t>
  </si>
  <si>
    <t>R$ 8.568</t>
  </si>
  <si>
    <t>Payback</t>
  </si>
  <si>
    <t>3 meses</t>
  </si>
  <si>
    <t>CAC Medio</t>
  </si>
  <si>
    <t>R$ 420</t>
  </si>
  <si>
    <t>Margem Bruta</t>
  </si>
  <si>
    <t>72%</t>
  </si>
  <si>
    <t>ROI Ano 1</t>
  </si>
  <si>
    <t>340%</t>
  </si>
  <si>
    <t>Receita Mensal por Plano (Ano 1 — 12 meses)</t>
  </si>
  <si>
    <t>Mes</t>
  </si>
  <si>
    <t>Starter (Qtd)</t>
  </si>
  <si>
    <t>Starter (R$)</t>
  </si>
  <si>
    <t>Profissional (Qtd)</t>
  </si>
  <si>
    <t>Profissional (R$)</t>
  </si>
  <si>
    <t>Enterprise (Qtd)</t>
  </si>
  <si>
    <t>Enterprise (R$)</t>
  </si>
  <si>
    <t>Total (R$)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</si>
  <si>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</si>
  <si>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</si>
  <si>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</si>
  <si>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</si>
  <si>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</si>
  <si>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</si>
  <si>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</si>
  <si>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</si>
  <si>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</si>
  <si>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</si>
  <si>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</si>
  <si>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</si>
  <si>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TOTAL ANO 1</t>
  </si>
  <si>
    <t>Projecao de Receitas — 36 Meses</t>
  </si>
  <si>
    <t>Starter Qtd</t>
  </si>
  <si>
    <t>Starter R$</t>
  </si>
  <si>
    <t>Profissional Qtd</t>
  </si>
  <si>
    <t>Profissional R$</t>
  </si>
  <si>
    <t>Enterprise Qtd</t>
  </si>
  <si>
    <t>Enterprise R$</t>
  </si>
  <si>
    <t>Receita Total R$</t>
  </si>
  <si>
    <t>Total Ano 1</t>
  </si>
  <si>
    <t>Mês 14</t>
  </si>
  <si>
    <t>Mês 15</t>
  </si>
  <si>
    <t>Mês 16</t>
  </si>
  <si>
    <t>Mês 17</t>
  </si>
  <si>
    <t>Mês 18</t>
  </si>
  <si>
    <t>Mês 19</t>
  </si>
  <si>
    <t>Mês 20</t>
  </si>
  <si>
    <t>Mês 21</t>
  </si>
  <si>
    <t>Mês 22</t>
  </si>
  <si>
    <t>Mês 23</t>
  </si>
  <si>
    <t>Mês 24</t>
  </si>
  <si>
    <t>Total Ano 2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</si>
  <si>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</si>
  <si>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</si>
  <si>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</si>
  <si>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</si>
  <si>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</si>
  <si>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</si>
  <si>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</si>
  <si>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</si>
  <si>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</si>
  <si>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</si>
  <si>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</si>
  <si>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Total Ano 3</t>
  </si>
  <si>
    <t>Estrutura de Custos — 36 Meses</t>
  </si>
  <si>
    <t>Cloud (AWS)</t>
  </si>
  <si>
    <t>Equipe</t>
  </si>
  <si>
    <t>Marketing</t>
  </si>
  <si>
    <t>Suporte</t>
  </si>
  <si>
    <t>Escritorio</t>
  </si>
  <si>
    <t>Custo Total</t>
  </si>
  <si>
    <t>Mês 13</t>
  </si>
  <si>
    <t>Mês 25</t>
  </si>
  <si>
    <t>Analise de Ponto de Equilibrio</t>
  </si>
  <si>
    <t>Metrica</t>
  </si>
  <si>
    <t>Valor</t>
  </si>
  <si>
    <t>Unidade</t>
  </si>
  <si>
    <t>Observacao</t>
  </si>
  <si>
    <t>Custos Fixos Mensais</t>
  </si>
  <si>
    <t>R$</t>
  </si>
  <si>
    <t>Equipe + escritorio base</t>
  </si>
  <si>
    <t>Custos Variaveis (% receita)</t>
  </si>
  <si>
    <t>%</t>
  </si>
  <si>
    <t>Cloud + suporte proporcional</t>
  </si>
  <si>
    <t>Ticket Medio Mensal</t>
  </si>
  <si>
    <t>Media ponderada dos 3 planos</t>
  </si>
  <si>
    <t>Margem de Contribuicao</t>
  </si>
  <si>
    <t>1 - custo variavel</t>
  </si>
  <si>
    <t>Ponto de Equilibrio (assinaturas)</t>
  </si>
  <si>
    <t>clientes</t>
  </si>
  <si>
    <t>Custos fixos / margem contrib.</t>
  </si>
  <si>
    <t>Ponto de Equilibrio (receita)</t>
  </si>
  <si>
    <t>R$/mes</t>
  </si>
  <si>
    <t>267 x R$489</t>
  </si>
  <si>
    <t>Burn Rate Mensal (inicial)</t>
  </si>
  <si>
    <t>Antes do break-even</t>
  </si>
  <si>
    <t>Investimento Inicial (Seed)</t>
  </si>
  <si>
    <t>Rodada Seed</t>
  </si>
  <si>
    <t>Runway</t>
  </si>
  <si>
    <t>meses</t>
  </si>
  <si>
    <t>Investimento / burn rate</t>
  </si>
  <si>
    <t>Mes Estimado Break-Even</t>
  </si>
  <si>
    <t>mes</t>
  </si>
  <si>
    <t>Baseado na projecao de receitas</t>
  </si>
  <si>
    <t>Margem de Seguranca</t>
  </si>
  <si>
    <t>Buffer para imprevistos</t>
  </si>
  <si>
    <t>Rodadas de Investimento e Uso de Recursos</t>
  </si>
  <si>
    <t>Seed Round — R$ 2.000.000</t>
  </si>
  <si>
    <t>Categoria</t>
  </si>
  <si>
    <t>Percentual</t>
  </si>
  <si>
    <t>Valor (R$)</t>
  </si>
  <si>
    <t>Descricao</t>
  </si>
  <si>
    <t>Produto e Engenharia</t>
  </si>
  <si>
    <t>Desenvolvimento do produto core, IA, integracoes</t>
  </si>
  <si>
    <t>Vendas e Marketing</t>
  </si>
  <si>
    <t>Marketing digital, equipe comercial, eventos</t>
  </si>
  <si>
    <t>Equipe Operacional</t>
  </si>
  <si>
    <t>Contratacoes-chave, suporte, customer success</t>
  </si>
  <si>
    <t>Operacoes e Legal</t>
  </si>
  <si>
    <t>Infraestrutura, escritorio, juridico, contabilidade</t>
  </si>
  <si>
    <t>TOTAL</t>
  </si>
  <si>
    <t>Series A (Projecao) — R$ 10.000.000</t>
  </si>
  <si>
    <t>Expansao de Mercado</t>
  </si>
  <si>
    <t>Abrir mercados regionais, equipe comercial ampliada</t>
  </si>
  <si>
    <t>Produto (Mobile + IoT)</t>
  </si>
  <si>
    <t>App mobile, integracao IoT, multi-propriedade</t>
  </si>
  <si>
    <t>Internacionalizacao</t>
  </si>
  <si>
    <t>Expansao LATAM (Mexico, Colombia, Argentina)</t>
  </si>
  <si>
    <t>Equipe e Operacoes</t>
  </si>
  <si>
    <t>C-Level, lideres de equipe, infraestrutura robusta</t>
  </si>
  <si>
    <t>Reserva Estrategica</t>
  </si>
  <si>
    <t>Fundo de contingencia e oportunidades</t>
  </si>
  <si>
    <t>Diluição de Equity</t>
  </si>
  <si>
    <t>Rodada</t>
  </si>
  <si>
    <t>Investimento</t>
  </si>
  <si>
    <t>Equity Diluido</t>
  </si>
  <si>
    <t>Pre-Money</t>
  </si>
  <si>
    <t>Post-Money</t>
  </si>
  <si>
    <t>Seed</t>
  </si>
  <si>
    <t>R$ 2.000.000</t>
  </si>
  <si>
    <t>15%</t>
  </si>
  <si>
    <t>R$ 11.333.333</t>
  </si>
  <si>
    <t>R$ 13.333.333</t>
  </si>
  <si>
    <t>Series A</t>
  </si>
  <si>
    <t>R$ 10.000.000</t>
  </si>
  <si>
    <t>20%</t>
  </si>
  <si>
    <t>R$ 40.000.000</t>
  </si>
  <si>
    <t>R$ 50.000.000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</si>
</sst>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"/>
  </numFmts>
  <fonts count="15">
    <font>
      <sz val="10.0"/>
      <color rgb="FF000000"/>
      <name val="Calibri"/>
      <scheme val="minor"/>
    </font>
    <font>
      <b/>
      <sz val="16.0"/>
      <color rgb="FF0D1117"/>
      <name val="Calibri"/>
    </font>
    <font>
      <sz val="11.0"/>
      <color rgb="FF6B7280"/>
      <name val="Calibri"/>
    </font>
    <font>
      <sz val="9.0"/>
      <color rgb="FF6B7280"/>
      <name val="Calibri"/>
    </font>
    <font>
      <b/>
      <sz val="22.0"/>
      <color rgb="FF10B981"/>
      <name val="Calibri"/>
    </font>
    <font>
      <b/>
      <sz val="12.0"/>
      <color rgb="FF0D1117"/>
      <name val="Calibri"/>
    </font>
    <font>
      <b/>
      <sz val="12.0"/>
      <color rgb="FFFFFFFF"/>
      <name val="Calibri"/>
    </font>
    <font>
      <sz val="10.0"/>
      <color rgb="FF333333"/>
      <name val="Calibri"/>
    </font>
    <font>
      <b/>
      <sz val="10.0"/>
      <color rgb="FF10B981"/>
      <name val="Calibri"/>
    </font>
    <font>
      <b/>
      <color rgb="FF10B981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  <font>
      <b/>
      <sz val="13.0"/>
      <color rgb="FF10B981"/>
      <name val="Calibri"/>
    </font>
    <font>
      <b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2" fontId="6" numFmtId="0" xfId="0" applyAlignment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3" xfId="0" applyAlignment="1" applyBorder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0" fillId="0" fontId="8" numFmtId="0" xfId="0" applyFont="1"/>
    <xf borderId="1" fillId="0" fontId="8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164" xfId="0" applyAlignment="1" applyBorder="1" applyFont="1" applyNumberFormat="1">
      <alignment horizontal="center" vertical="center"/>
    </xf>
    <xf borderId="0" fillId="0" fontId="9" numFmtId="0" xfId="0" applyFont="1"/>
    <xf borderId="0" fillId="0" fontId="10" numFmtId="0" xfId="0" applyFont="1"/>
    <xf borderId="1" fillId="0" fontId="11" numFmtId="0" xfId="0" applyAlignment="1" applyBorder="1" applyFont="1">
      <alignment horizontal="center" vertical="center"/>
    </xf>
    <xf borderId="1" fillId="0" fontId="12" numFmtId="164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2" numFmtId="9" xfId="0" applyAlignment="1" applyBorder="1" applyFont="1" applyNumberFormat="1">
      <alignment horizontal="center" vertical="center"/>
    </xf>
    <xf borderId="0" fillId="0" fontId="13" numFmtId="0" xfId="0" applyFont="1"/>
    <xf borderId="1" fillId="0" fontId="11" numFmtId="0" xfId="0" applyAlignment="1" applyBorder="1" applyFont="1">
      <alignment shrinkToFit="0" vertical="center" wrapText="1"/>
    </xf>
    <xf borderId="1" fillId="0" fontId="12" numFmtId="9" xfId="0" applyAlignment="1" applyBorder="1" applyFont="1" applyNumberFormat="1">
      <alignment shrinkToFit="0" vertical="center" wrapText="1"/>
    </xf>
    <xf borderId="1" fillId="0" fontId="12" numFmtId="164" xfId="0" applyAlignment="1" applyBorder="1" applyFont="1" applyNumberFormat="1">
      <alignment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9" numFmtId="0" xfId="0" applyBorder="1" applyFont="1"/>
    <xf borderId="1" fillId="0" fontId="9" numFmtId="9" xfId="0" applyBorder="1" applyFont="1" applyNumberFormat="1"/>
    <xf borderId="1" fillId="0" fontId="9" numFmtId="164" xfId="0" applyBorder="1" applyFont="1" applyNumberFormat="1"/>
    <xf borderId="1" fillId="2" fontId="1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Receita Mensal Total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'Resumo Financeiro'!$I$8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'Resumo Financeiro'!$B$9:$B$20</c:f>
            </c:strRef>
          </c:cat>
          <c:val>
            <c:numRef>
              <c:f>'Resumo Financeiro'!$I$9:$I$20</c:f>
              <c:numCache/>
            </c:numRef>
          </c:val>
        </c:ser>
        <c:axId val="1951853464"/>
        <c:axId val="1717345360"/>
      </c:barChart>
      <c:catAx>
        <c:axId val="1951853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345360"/>
      </c:catAx>
      <c:valAx>
        <c:axId val="1717345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853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0</xdr:rowOff>
    </xdr:from>
    <xdr:ext cx="7191375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B981"/>
    <pageSetUpPr/>
  </sheetPr>
  <sheetViews>
    <sheetView workbookViewId="0"/>
  </sheetViews>
  <sheetFormatPr customHeight="1" defaultColWidth="14.43" defaultRowHeight="15.75"/>
  <cols>
    <col customWidth="1" min="1" max="1" width="12.0"/>
    <col customWidth="1" min="2" max="2" width="66.14"/>
    <col customWidth="1" min="3" max="3" width="22.71"/>
    <col customWidth="1" min="4" max="4" width="12.0"/>
    <col customWidth="1" min="5" max="5" width="17.71"/>
    <col customWidth="1" min="6" max="6" width="16.57"/>
    <col customWidth="1" min="7" max="7" width="17.71"/>
    <col customWidth="1" min="8" max="8" width="17.29"/>
    <col customWidth="1" min="9" max="9" width="17.0"/>
    <col customWidth="1" min="10" max="27" width="8.71"/>
  </cols>
  <sheetData>
    <row r="1">
      <c r="A1" s="1"/>
      <c r="B1" s="1" t="s">
        <v>0</v>
      </c>
    </row>
    <row r="2">
      <c r="A2" s="2"/>
      <c r="B2" s="2" t="s">
        <v>1</v>
      </c>
    </row>
    <row r="4">
      <c r="A4" s="3"/>
      <c r="B4" s="3" t="s">
        <v>2</v>
      </c>
      <c r="C4" s="4" t="s">
        <v>3</v>
      </c>
      <c r="D4" s="3" t="s">
        <v>4</v>
      </c>
      <c r="E4" s="4" t="s">
        <v>5</v>
      </c>
      <c r="F4" s="3" t="s">
        <v>6</v>
      </c>
      <c r="G4" s="4" t="s">
        <v>7</v>
      </c>
    </row>
    <row r="5">
      <c r="A5" s="3"/>
      <c r="B5" s="3" t="s">
        <v>8</v>
      </c>
      <c r="C5" s="4" t="s">
        <v>9</v>
      </c>
      <c r="D5" s="3" t="s">
        <v>10</v>
      </c>
      <c r="E5" s="4" t="s">
        <v>11</v>
      </c>
      <c r="F5" s="3" t="s">
        <v>12</v>
      </c>
      <c r="G5" s="4" t="s">
        <v>13</v>
      </c>
    </row>
    <row r="7">
      <c r="A7" s="5"/>
      <c r="B7" s="5" t="s">
        <v>14</v>
      </c>
    </row>
    <row r="8">
      <c r="A8" s="6"/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21</v>
      </c>
      <c r="I8" s="7" t="s">
        <v>22</v>
      </c>
    </row>
    <row r="9">
      <c r="A9" s="8"/>
      <c r="B9" s="9" t="s">
        <v>23</v>
      </c>
      <c r="C9" s="10">
        <v>10.0</v>
      </c>
      <c r="D9" s="11">
        <f t="shared" ref="D9:D20" si="1">C9*297</f>
        <v>2970</v>
      </c>
      <c r="E9" s="10">
        <v>3.0</v>
      </c>
      <c r="F9" s="11">
        <f t="shared" ref="F9:F20" si="2">E9*597</f>
        <v>1791</v>
      </c>
      <c r="G9" s="10">
        <v>1.0</v>
      </c>
      <c r="H9" s="11">
        <f t="shared" ref="H9:H20" si="3">G9*1497</f>
        <v>1497</v>
      </c>
      <c r="I9" s="11">
        <f t="shared" ref="I9:I20" si="4">D9+F9+H9</f>
        <v>6258</v>
      </c>
    </row>
    <row r="10">
      <c r="A10" s="8"/>
      <c r="B10" s="9" t="s">
        <v>24</v>
      </c>
      <c r="C10" s="10">
        <v>12.0</v>
      </c>
      <c r="D10" s="11">
        <f t="shared" si="1"/>
        <v>3564</v>
      </c>
      <c r="E10" s="10">
        <v>4.0</v>
      </c>
      <c r="F10" s="11">
        <f t="shared" si="2"/>
        <v>2388</v>
      </c>
      <c r="G10" s="10">
        <v>1.0</v>
      </c>
      <c r="H10" s="11">
        <f t="shared" si="3"/>
        <v>1497</v>
      </c>
      <c r="I10" s="11">
        <f t="shared" si="4"/>
        <v>7449</v>
      </c>
    </row>
    <row r="11">
      <c r="A11" s="8"/>
      <c r="B11" s="9" t="s">
        <v>25</v>
      </c>
      <c r="C11" s="10">
        <v>14.0</v>
      </c>
      <c r="D11" s="11">
        <f t="shared" si="1"/>
        <v>4158</v>
      </c>
      <c r="E11" s="10">
        <v>5.0</v>
      </c>
      <c r="F11" s="11">
        <f t="shared" si="2"/>
        <v>2985</v>
      </c>
      <c r="G11" s="10">
        <v>1.0</v>
      </c>
      <c r="H11" s="11">
        <f t="shared" si="3"/>
        <v>1497</v>
      </c>
      <c r="I11" s="11">
        <f t="shared" si="4"/>
        <v>8640</v>
      </c>
    </row>
    <row r="12">
      <c r="A12" s="8"/>
      <c r="B12" s="9" t="s">
        <v>26</v>
      </c>
      <c r="C12" s="10">
        <v>17.0</v>
      </c>
      <c r="D12" s="11">
        <f t="shared" si="1"/>
        <v>5049</v>
      </c>
      <c r="E12" s="10">
        <v>6.0</v>
      </c>
      <c r="F12" s="11">
        <f t="shared" si="2"/>
        <v>3582</v>
      </c>
      <c r="G12" s="10">
        <v>2.0</v>
      </c>
      <c r="H12" s="11">
        <f t="shared" si="3"/>
        <v>2994</v>
      </c>
      <c r="I12" s="11">
        <f t="shared" si="4"/>
        <v>11625</v>
      </c>
    </row>
    <row r="13">
      <c r="A13" s="8"/>
      <c r="B13" s="9" t="s">
        <v>27</v>
      </c>
      <c r="C13" s="10">
        <v>20.0</v>
      </c>
      <c r="D13" s="11">
        <f t="shared" si="1"/>
        <v>5940</v>
      </c>
      <c r="E13" s="10">
        <v>7.0</v>
      </c>
      <c r="F13" s="11">
        <f t="shared" si="2"/>
        <v>4179</v>
      </c>
      <c r="G13" s="10">
        <v>2.0</v>
      </c>
      <c r="H13" s="11">
        <f t="shared" si="3"/>
        <v>2994</v>
      </c>
      <c r="I13" s="11">
        <f t="shared" si="4"/>
        <v>13113</v>
      </c>
    </row>
    <row r="14">
      <c r="A14" s="8"/>
      <c r="B14" s="9" t="s">
        <v>28</v>
      </c>
      <c r="C14" s="10">
        <v>24.0</v>
      </c>
      <c r="D14" s="11">
        <f t="shared" si="1"/>
        <v>7128</v>
      </c>
      <c r="E14" s="10">
        <v>9.0</v>
      </c>
      <c r="F14" s="11">
        <f t="shared" si="2"/>
        <v>5373</v>
      </c>
      <c r="G14" s="10">
        <v>2.0</v>
      </c>
      <c r="H14" s="11">
        <f t="shared" si="3"/>
        <v>2994</v>
      </c>
      <c r="I14" s="11">
        <f t="shared" si="4"/>
        <v>15495</v>
      </c>
    </row>
    <row r="15">
      <c r="A15" s="8"/>
      <c r="B15" s="9" t="s">
        <v>29</v>
      </c>
      <c r="C15" s="10">
        <v>28.0</v>
      </c>
      <c r="D15" s="11">
        <f t="shared" si="1"/>
        <v>8316</v>
      </c>
      <c r="E15" s="10">
        <v>10.0</v>
      </c>
      <c r="F15" s="11">
        <f t="shared" si="2"/>
        <v>5970</v>
      </c>
      <c r="G15" s="10">
        <v>3.0</v>
      </c>
      <c r="H15" s="11">
        <f t="shared" si="3"/>
        <v>4491</v>
      </c>
      <c r="I15" s="11">
        <f t="shared" si="4"/>
        <v>18777</v>
      </c>
    </row>
    <row r="16">
      <c r="A16" s="8"/>
      <c r="B16" s="9" t="s">
        <v>30</v>
      </c>
      <c r="C16" s="10">
        <v>33.0</v>
      </c>
      <c r="D16" s="11">
        <f t="shared" si="1"/>
        <v>9801</v>
      </c>
      <c r="E16" s="10">
        <v>12.0</v>
      </c>
      <c r="F16" s="11">
        <f t="shared" si="2"/>
        <v>7164</v>
      </c>
      <c r="G16" s="10">
        <v>3.0</v>
      </c>
      <c r="H16" s="11">
        <f t="shared" si="3"/>
        <v>4491</v>
      </c>
      <c r="I16" s="11">
        <f t="shared" si="4"/>
        <v>21456</v>
      </c>
    </row>
    <row r="17">
      <c r="A17" s="8"/>
      <c r="B17" s="9" t="s">
        <v>31</v>
      </c>
      <c r="C17" s="10">
        <v>38.0</v>
      </c>
      <c r="D17" s="11">
        <f t="shared" si="1"/>
        <v>11286</v>
      </c>
      <c r="E17" s="10">
        <v>15.0</v>
      </c>
      <c r="F17" s="11">
        <f t="shared" si="2"/>
        <v>8955</v>
      </c>
      <c r="G17" s="10">
        <v>3.0</v>
      </c>
      <c r="H17" s="11">
        <f t="shared" si="3"/>
        <v>4491</v>
      </c>
      <c r="I17" s="11">
        <f t="shared" si="4"/>
        <v>24732</v>
      </c>
    </row>
    <row r="18">
      <c r="A18" s="8"/>
      <c r="B18" s="9" t="s">
        <v>32</v>
      </c>
      <c r="C18" s="10">
        <v>44.0</v>
      </c>
      <c r="D18" s="11">
        <f t="shared" si="1"/>
        <v>13068</v>
      </c>
      <c r="E18" s="10">
        <v>18.0</v>
      </c>
      <c r="F18" s="11">
        <f t="shared" si="2"/>
        <v>10746</v>
      </c>
      <c r="G18" s="10">
        <v>4.0</v>
      </c>
      <c r="H18" s="11">
        <f t="shared" si="3"/>
        <v>5988</v>
      </c>
      <c r="I18" s="11">
        <f t="shared" si="4"/>
        <v>29802</v>
      </c>
    </row>
    <row r="19">
      <c r="A19" s="8"/>
      <c r="B19" s="9" t="s">
        <v>33</v>
      </c>
      <c r="C19" s="10">
        <v>50.0</v>
      </c>
      <c r="D19" s="11">
        <f t="shared" si="1"/>
        <v>14850</v>
      </c>
      <c r="E19" s="10">
        <v>21.0</v>
      </c>
      <c r="F19" s="11">
        <f t="shared" si="2"/>
        <v>12537</v>
      </c>
      <c r="G19" s="10">
        <v>4.0</v>
      </c>
      <c r="H19" s="11">
        <f t="shared" si="3"/>
        <v>5988</v>
      </c>
      <c r="I19" s="11">
        <f t="shared" si="4"/>
        <v>33375</v>
      </c>
    </row>
    <row r="20">
      <c r="A20" s="8"/>
      <c r="B20" s="9" t="s">
        <v>34</v>
      </c>
      <c r="C20" s="10">
        <v>58.0</v>
      </c>
      <c r="D20" s="11">
        <f t="shared" si="1"/>
        <v>17226</v>
      </c>
      <c r="E20" s="10">
        <v>25.0</v>
      </c>
      <c r="F20" s="11">
        <f t="shared" si="2"/>
        <v>14925</v>
      </c>
      <c r="G20" s="10">
        <v>5.0</v>
      </c>
      <c r="H20" s="11">
        <f t="shared" si="3"/>
        <v>7485</v>
      </c>
      <c r="I20" s="11">
        <f t="shared" si="4"/>
        <v>39636</v>
      </c>
    </row>
    <row r="21">
      <c r="A21" s="12"/>
      <c r="B21" s="12" t="s">
        <v>35</v>
      </c>
      <c r="D21" s="13">
        <f>SUM(D9:D20)</f>
        <v>103356</v>
      </c>
      <c r="F21" s="13">
        <f>SUM(F9:F20)</f>
        <v>80595</v>
      </c>
      <c r="H21" s="13">
        <f t="shared" ref="H21:I21" si="5">SUM(H9:H20)</f>
        <v>46407</v>
      </c>
      <c r="I21" s="13">
        <f t="shared" si="5"/>
        <v>230358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B1:I1"/>
    <mergeCell ref="B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9669"/>
    <pageSetUpPr/>
  </sheetPr>
  <sheetViews>
    <sheetView workbookViewId="0"/>
  </sheetViews>
  <sheetFormatPr customHeight="1" defaultColWidth="14.43" defaultRowHeight="15.75"/>
  <cols>
    <col customWidth="1" min="1" max="1" width="10.0"/>
    <col customWidth="1" min="2" max="3" width="14.0"/>
    <col customWidth="1" min="4" max="5" width="18.0"/>
    <col customWidth="1" min="6" max="7" width="16.0"/>
    <col customWidth="1" min="8" max="8" width="18.0"/>
    <col customWidth="1" min="9" max="26" width="8.71"/>
  </cols>
  <sheetData>
    <row r="1">
      <c r="A1" s="1" t="s">
        <v>36</v>
      </c>
    </row>
    <row r="3">
      <c r="A3" s="7" t="s">
        <v>15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7" t="s">
        <v>42</v>
      </c>
      <c r="H3" s="7" t="s">
        <v>43</v>
      </c>
    </row>
    <row r="4">
      <c r="A4" s="9" t="s">
        <v>23</v>
      </c>
      <c r="B4" s="10">
        <v>10.0</v>
      </c>
      <c r="C4" s="11">
        <f t="shared" ref="C4:C15" si="1">B4*297</f>
        <v>2970</v>
      </c>
      <c r="D4" s="10">
        <v>3.0</v>
      </c>
      <c r="E4" s="11">
        <f t="shared" ref="E4:E15" si="2">D4*597</f>
        <v>1791</v>
      </c>
      <c r="F4" s="10">
        <v>1.0</v>
      </c>
      <c r="G4" s="11">
        <f t="shared" ref="G4:G15" si="3">F4*1497</f>
        <v>1497</v>
      </c>
      <c r="H4" s="11">
        <f t="shared" ref="H4:H15" si="4">C4+E4+G4</f>
        <v>6258</v>
      </c>
    </row>
    <row r="5">
      <c r="A5" s="9" t="s">
        <v>24</v>
      </c>
      <c r="B5" s="10">
        <v>14.0</v>
      </c>
      <c r="C5" s="11">
        <f t="shared" si="1"/>
        <v>4158</v>
      </c>
      <c r="D5" s="10">
        <v>4.0</v>
      </c>
      <c r="E5" s="11">
        <f t="shared" si="2"/>
        <v>2388</v>
      </c>
      <c r="F5" s="10">
        <v>1.0</v>
      </c>
      <c r="G5" s="11">
        <f t="shared" si="3"/>
        <v>1497</v>
      </c>
      <c r="H5" s="11">
        <f t="shared" si="4"/>
        <v>8043</v>
      </c>
    </row>
    <row r="6">
      <c r="A6" s="9" t="s">
        <v>25</v>
      </c>
      <c r="B6" s="10">
        <v>18.0</v>
      </c>
      <c r="C6" s="11">
        <f t="shared" si="1"/>
        <v>5346</v>
      </c>
      <c r="D6" s="10">
        <v>5.0</v>
      </c>
      <c r="E6" s="11">
        <f t="shared" si="2"/>
        <v>2985</v>
      </c>
      <c r="F6" s="10">
        <v>1.0</v>
      </c>
      <c r="G6" s="11">
        <f t="shared" si="3"/>
        <v>1497</v>
      </c>
      <c r="H6" s="11">
        <f t="shared" si="4"/>
        <v>9828</v>
      </c>
    </row>
    <row r="7">
      <c r="A7" s="9" t="s">
        <v>26</v>
      </c>
      <c r="B7" s="10">
        <v>24.0</v>
      </c>
      <c r="C7" s="11">
        <f t="shared" si="1"/>
        <v>7128</v>
      </c>
      <c r="D7" s="10">
        <v>6.0</v>
      </c>
      <c r="E7" s="11">
        <f t="shared" si="2"/>
        <v>3582</v>
      </c>
      <c r="F7" s="10">
        <v>1.0</v>
      </c>
      <c r="G7" s="11">
        <f t="shared" si="3"/>
        <v>1497</v>
      </c>
      <c r="H7" s="11">
        <f t="shared" si="4"/>
        <v>12207</v>
      </c>
    </row>
    <row r="8">
      <c r="A8" s="9" t="s">
        <v>27</v>
      </c>
      <c r="B8" s="10">
        <v>29.0</v>
      </c>
      <c r="C8" s="11">
        <f t="shared" si="1"/>
        <v>8613</v>
      </c>
      <c r="D8" s="10">
        <v>8.0</v>
      </c>
      <c r="E8" s="11">
        <f t="shared" si="2"/>
        <v>4776</v>
      </c>
      <c r="F8" s="10">
        <v>1.0</v>
      </c>
      <c r="G8" s="11">
        <f t="shared" si="3"/>
        <v>1497</v>
      </c>
      <c r="H8" s="11">
        <f t="shared" si="4"/>
        <v>14886</v>
      </c>
    </row>
    <row r="9">
      <c r="A9" s="9" t="s">
        <v>28</v>
      </c>
      <c r="B9" s="10">
        <v>35.0</v>
      </c>
      <c r="C9" s="11">
        <f t="shared" si="1"/>
        <v>10395</v>
      </c>
      <c r="D9" s="10">
        <v>10.0</v>
      </c>
      <c r="E9" s="11">
        <f t="shared" si="2"/>
        <v>5970</v>
      </c>
      <c r="F9" s="10">
        <v>2.0</v>
      </c>
      <c r="G9" s="11">
        <f t="shared" si="3"/>
        <v>2994</v>
      </c>
      <c r="H9" s="11">
        <f t="shared" si="4"/>
        <v>19359</v>
      </c>
    </row>
    <row r="10">
      <c r="A10" s="9" t="s">
        <v>29</v>
      </c>
      <c r="B10" s="10">
        <v>43.0</v>
      </c>
      <c r="C10" s="11">
        <f t="shared" si="1"/>
        <v>12771</v>
      </c>
      <c r="D10" s="10">
        <v>12.0</v>
      </c>
      <c r="E10" s="11">
        <f t="shared" si="2"/>
        <v>7164</v>
      </c>
      <c r="F10" s="10">
        <v>2.0</v>
      </c>
      <c r="G10" s="11">
        <f t="shared" si="3"/>
        <v>2994</v>
      </c>
      <c r="H10" s="11">
        <f t="shared" si="4"/>
        <v>22929</v>
      </c>
    </row>
    <row r="11">
      <c r="A11" s="9" t="s">
        <v>30</v>
      </c>
      <c r="B11" s="10">
        <v>51.0</v>
      </c>
      <c r="C11" s="11">
        <f t="shared" si="1"/>
        <v>15147</v>
      </c>
      <c r="D11" s="10">
        <v>14.0</v>
      </c>
      <c r="E11" s="11">
        <f t="shared" si="2"/>
        <v>8358</v>
      </c>
      <c r="F11" s="10">
        <v>2.0</v>
      </c>
      <c r="G11" s="11">
        <f t="shared" si="3"/>
        <v>2994</v>
      </c>
      <c r="H11" s="11">
        <f t="shared" si="4"/>
        <v>26499</v>
      </c>
    </row>
    <row r="12">
      <c r="A12" s="9" t="s">
        <v>31</v>
      </c>
      <c r="B12" s="10">
        <v>60.0</v>
      </c>
      <c r="C12" s="11">
        <f t="shared" si="1"/>
        <v>17820</v>
      </c>
      <c r="D12" s="10">
        <v>18.0</v>
      </c>
      <c r="E12" s="11">
        <f t="shared" si="2"/>
        <v>10746</v>
      </c>
      <c r="F12" s="10">
        <v>2.0</v>
      </c>
      <c r="G12" s="11">
        <f t="shared" si="3"/>
        <v>2994</v>
      </c>
      <c r="H12" s="11">
        <f t="shared" si="4"/>
        <v>31560</v>
      </c>
    </row>
    <row r="13">
      <c r="A13" s="9" t="s">
        <v>32</v>
      </c>
      <c r="B13" s="10">
        <v>71.0</v>
      </c>
      <c r="C13" s="11">
        <f t="shared" si="1"/>
        <v>21087</v>
      </c>
      <c r="D13" s="10">
        <v>21.0</v>
      </c>
      <c r="E13" s="11">
        <f t="shared" si="2"/>
        <v>12537</v>
      </c>
      <c r="F13" s="10">
        <v>2.0</v>
      </c>
      <c r="G13" s="11">
        <f t="shared" si="3"/>
        <v>2994</v>
      </c>
      <c r="H13" s="11">
        <f t="shared" si="4"/>
        <v>36618</v>
      </c>
    </row>
    <row r="14">
      <c r="A14" s="9" t="s">
        <v>33</v>
      </c>
      <c r="B14" s="10">
        <v>82.0</v>
      </c>
      <c r="C14" s="11">
        <f t="shared" si="1"/>
        <v>24354</v>
      </c>
      <c r="D14" s="10">
        <v>25.0</v>
      </c>
      <c r="E14" s="11">
        <f t="shared" si="2"/>
        <v>14925</v>
      </c>
      <c r="F14" s="10">
        <v>3.0</v>
      </c>
      <c r="G14" s="11">
        <f t="shared" si="3"/>
        <v>4491</v>
      </c>
      <c r="H14" s="11">
        <f t="shared" si="4"/>
        <v>43770</v>
      </c>
    </row>
    <row r="15">
      <c r="A15" s="9" t="s">
        <v>34</v>
      </c>
      <c r="B15" s="10">
        <v>94.0</v>
      </c>
      <c r="C15" s="11">
        <f t="shared" si="1"/>
        <v>27918</v>
      </c>
      <c r="D15" s="10">
        <v>29.0</v>
      </c>
      <c r="E15" s="11">
        <f t="shared" si="2"/>
        <v>17313</v>
      </c>
      <c r="F15" s="10">
        <v>3.0</v>
      </c>
      <c r="G15" s="11">
        <f t="shared" si="3"/>
        <v>4491</v>
      </c>
      <c r="H15" s="11">
        <f t="shared" si="4"/>
        <v>49722</v>
      </c>
    </row>
    <row r="16">
      <c r="A16" s="14" t="s">
        <v>44</v>
      </c>
      <c r="B16" s="10">
        <v>109.0</v>
      </c>
      <c r="C16" s="15">
        <f>SUM(C4:C15)</f>
        <v>157707</v>
      </c>
      <c r="D16" s="10">
        <v>35.0</v>
      </c>
      <c r="E16" s="15">
        <f>SUM(E4:E15)</f>
        <v>92535</v>
      </c>
      <c r="F16" s="10">
        <v>3.0</v>
      </c>
      <c r="G16" s="15">
        <f t="shared" ref="G16:H16" si="5">SUM(G4:G15)</f>
        <v>31437</v>
      </c>
      <c r="H16" s="15">
        <f t="shared" si="5"/>
        <v>281679</v>
      </c>
    </row>
    <row r="17">
      <c r="A17" s="9" t="s">
        <v>45</v>
      </c>
      <c r="B17" s="10">
        <v>125.0</v>
      </c>
      <c r="C17" s="11">
        <f t="shared" ref="C17:C27" si="6">B17*297</f>
        <v>37125</v>
      </c>
      <c r="D17" s="10">
        <v>41.0</v>
      </c>
      <c r="E17" s="11">
        <f t="shared" ref="E17:E27" si="7">D17*597</f>
        <v>24477</v>
      </c>
      <c r="F17" s="10">
        <v>3.0</v>
      </c>
      <c r="G17" s="11">
        <f t="shared" ref="G17:G27" si="8">F17*1497</f>
        <v>4491</v>
      </c>
      <c r="H17" s="11">
        <f t="shared" ref="H17:H27" si="9">C17+E17+G17</f>
        <v>66093</v>
      </c>
    </row>
    <row r="18">
      <c r="A18" s="9" t="s">
        <v>46</v>
      </c>
      <c r="B18" s="10">
        <v>143.0</v>
      </c>
      <c r="C18" s="11">
        <f t="shared" si="6"/>
        <v>42471</v>
      </c>
      <c r="D18" s="10">
        <v>48.0</v>
      </c>
      <c r="E18" s="11">
        <f t="shared" si="7"/>
        <v>28656</v>
      </c>
      <c r="F18" s="10">
        <v>3.0</v>
      </c>
      <c r="G18" s="11">
        <f t="shared" si="8"/>
        <v>4491</v>
      </c>
      <c r="H18" s="11">
        <f t="shared" si="9"/>
        <v>75618</v>
      </c>
    </row>
    <row r="19">
      <c r="A19" s="9" t="s">
        <v>47</v>
      </c>
      <c r="B19" s="10">
        <v>164.0</v>
      </c>
      <c r="C19" s="11">
        <f t="shared" si="6"/>
        <v>48708</v>
      </c>
      <c r="D19" s="10">
        <v>56.0</v>
      </c>
      <c r="E19" s="11">
        <f t="shared" si="7"/>
        <v>33432</v>
      </c>
      <c r="F19" s="10">
        <v>4.0</v>
      </c>
      <c r="G19" s="11">
        <f t="shared" si="8"/>
        <v>5988</v>
      </c>
      <c r="H19" s="11">
        <f t="shared" si="9"/>
        <v>88128</v>
      </c>
    </row>
    <row r="20">
      <c r="A20" s="9" t="s">
        <v>48</v>
      </c>
      <c r="B20" s="10">
        <v>186.0</v>
      </c>
      <c r="C20" s="11">
        <f t="shared" si="6"/>
        <v>55242</v>
      </c>
      <c r="D20" s="10">
        <v>66.0</v>
      </c>
      <c r="E20" s="11">
        <f t="shared" si="7"/>
        <v>39402</v>
      </c>
      <c r="F20" s="10">
        <v>4.0</v>
      </c>
      <c r="G20" s="11">
        <f t="shared" si="8"/>
        <v>5988</v>
      </c>
      <c r="H20" s="11">
        <f t="shared" si="9"/>
        <v>100632</v>
      </c>
    </row>
    <row r="21">
      <c r="A21" s="9" t="s">
        <v>49</v>
      </c>
      <c r="B21" s="10">
        <v>211.0</v>
      </c>
      <c r="C21" s="11">
        <f t="shared" si="6"/>
        <v>62667</v>
      </c>
      <c r="D21" s="10">
        <v>76.0</v>
      </c>
      <c r="E21" s="11">
        <f t="shared" si="7"/>
        <v>45372</v>
      </c>
      <c r="F21" s="10">
        <v>4.0</v>
      </c>
      <c r="G21" s="11">
        <f t="shared" si="8"/>
        <v>5988</v>
      </c>
      <c r="H21" s="11">
        <f t="shared" si="9"/>
        <v>114027</v>
      </c>
    </row>
    <row r="22">
      <c r="A22" s="9" t="s">
        <v>50</v>
      </c>
      <c r="B22" s="10">
        <v>240.0</v>
      </c>
      <c r="C22" s="11">
        <f t="shared" si="6"/>
        <v>71280</v>
      </c>
      <c r="D22" s="10">
        <v>88.0</v>
      </c>
      <c r="E22" s="11">
        <f t="shared" si="7"/>
        <v>52536</v>
      </c>
      <c r="F22" s="10">
        <v>4.0</v>
      </c>
      <c r="G22" s="11">
        <f t="shared" si="8"/>
        <v>5988</v>
      </c>
      <c r="H22" s="11">
        <f t="shared" si="9"/>
        <v>129804</v>
      </c>
    </row>
    <row r="23">
      <c r="A23" s="9" t="s">
        <v>51</v>
      </c>
      <c r="B23" s="10">
        <v>271.0</v>
      </c>
      <c r="C23" s="11">
        <f t="shared" si="6"/>
        <v>80487</v>
      </c>
      <c r="D23" s="10">
        <v>102.0</v>
      </c>
      <c r="E23" s="11">
        <f t="shared" si="7"/>
        <v>60894</v>
      </c>
      <c r="F23" s="10">
        <v>4.0</v>
      </c>
      <c r="G23" s="11">
        <f t="shared" si="8"/>
        <v>5988</v>
      </c>
      <c r="H23" s="11">
        <f t="shared" si="9"/>
        <v>147369</v>
      </c>
    </row>
    <row r="24">
      <c r="A24" s="9" t="s">
        <v>52</v>
      </c>
      <c r="B24" s="10">
        <v>306.0</v>
      </c>
      <c r="C24" s="11">
        <f t="shared" si="6"/>
        <v>90882</v>
      </c>
      <c r="D24" s="10">
        <v>119.0</v>
      </c>
      <c r="E24" s="11">
        <f t="shared" si="7"/>
        <v>71043</v>
      </c>
      <c r="F24" s="10">
        <v>5.0</v>
      </c>
      <c r="G24" s="11">
        <f t="shared" si="8"/>
        <v>7485</v>
      </c>
      <c r="H24" s="11">
        <f t="shared" si="9"/>
        <v>169410</v>
      </c>
    </row>
    <row r="25">
      <c r="A25" s="9" t="s">
        <v>53</v>
      </c>
      <c r="B25" s="10">
        <v>346.0</v>
      </c>
      <c r="C25" s="11">
        <f t="shared" si="6"/>
        <v>102762</v>
      </c>
      <c r="D25" s="10">
        <v>137.0</v>
      </c>
      <c r="E25" s="11">
        <f t="shared" si="7"/>
        <v>81789</v>
      </c>
      <c r="F25" s="10">
        <v>5.0</v>
      </c>
      <c r="G25" s="11">
        <f t="shared" si="8"/>
        <v>7485</v>
      </c>
      <c r="H25" s="11">
        <f t="shared" si="9"/>
        <v>192036</v>
      </c>
    </row>
    <row r="26">
      <c r="A26" s="9" t="s">
        <v>54</v>
      </c>
      <c r="B26" s="10">
        <v>390.0</v>
      </c>
      <c r="C26" s="11">
        <f t="shared" si="6"/>
        <v>115830</v>
      </c>
      <c r="D26" s="10">
        <v>158.0</v>
      </c>
      <c r="E26" s="11">
        <f t="shared" si="7"/>
        <v>94326</v>
      </c>
      <c r="F26" s="10">
        <v>5.0</v>
      </c>
      <c r="G26" s="11">
        <f t="shared" si="8"/>
        <v>7485</v>
      </c>
      <c r="H26" s="11">
        <f t="shared" si="9"/>
        <v>217641</v>
      </c>
    </row>
    <row r="27">
      <c r="A27" s="9" t="s">
        <v>55</v>
      </c>
      <c r="B27" s="10">
        <v>439.0</v>
      </c>
      <c r="C27" s="11">
        <f t="shared" si="6"/>
        <v>130383</v>
      </c>
      <c r="D27" s="10">
        <v>182.0</v>
      </c>
      <c r="E27" s="11">
        <f t="shared" si="7"/>
        <v>108654</v>
      </c>
      <c r="F27" s="10">
        <v>5.0</v>
      </c>
      <c r="G27" s="11">
        <f t="shared" si="8"/>
        <v>7485</v>
      </c>
      <c r="H27" s="11">
        <f t="shared" si="9"/>
        <v>246522</v>
      </c>
    </row>
    <row r="28">
      <c r="A28" s="14" t="s">
        <v>56</v>
      </c>
      <c r="B28" s="10">
        <v>495.0</v>
      </c>
      <c r="C28" s="15">
        <f>SUM(C16:C27)</f>
        <v>995544</v>
      </c>
      <c r="D28" s="10">
        <v>211.0</v>
      </c>
      <c r="E28" s="15">
        <f>SUM(E16:E27)</f>
        <v>733116</v>
      </c>
      <c r="F28" s="10">
        <v>5.0</v>
      </c>
      <c r="G28" s="15">
        <f t="shared" ref="G28:H28" si="10">SUM(G16:G27)</f>
        <v>100299</v>
      </c>
      <c r="H28" s="15">
        <f t="shared" si="10"/>
        <v>1828959</v>
      </c>
    </row>
    <row r="29">
      <c r="A29" s="9" t="s">
        <v>57</v>
      </c>
      <c r="B29" s="10">
        <v>557.0</v>
      </c>
      <c r="C29" s="11">
        <f t="shared" ref="C29:C39" si="11">B29*297</f>
        <v>165429</v>
      </c>
      <c r="D29" s="10">
        <v>243.0</v>
      </c>
      <c r="E29" s="11">
        <f t="shared" ref="E29:E39" si="12">D29*597</f>
        <v>145071</v>
      </c>
      <c r="F29" s="10">
        <v>6.0</v>
      </c>
      <c r="G29" s="11">
        <f t="shared" ref="G29:G39" si="13">F29*1497</f>
        <v>8982</v>
      </c>
      <c r="H29" s="11">
        <f t="shared" ref="H29:H39" si="14">C29+E29+G29</f>
        <v>319482</v>
      </c>
    </row>
    <row r="30">
      <c r="A30" s="9" t="s">
        <v>58</v>
      </c>
      <c r="B30" s="10">
        <v>626.0</v>
      </c>
      <c r="C30" s="11">
        <f t="shared" si="11"/>
        <v>185922</v>
      </c>
      <c r="D30" s="10">
        <v>280.0</v>
      </c>
      <c r="E30" s="11">
        <f t="shared" si="12"/>
        <v>167160</v>
      </c>
      <c r="F30" s="10">
        <v>6.0</v>
      </c>
      <c r="G30" s="11">
        <f t="shared" si="13"/>
        <v>8982</v>
      </c>
      <c r="H30" s="11">
        <f t="shared" si="14"/>
        <v>362064</v>
      </c>
    </row>
    <row r="31">
      <c r="A31" s="9" t="s">
        <v>59</v>
      </c>
      <c r="B31" s="10">
        <v>705.0</v>
      </c>
      <c r="C31" s="11">
        <f t="shared" si="11"/>
        <v>209385</v>
      </c>
      <c r="D31" s="10">
        <v>323.0</v>
      </c>
      <c r="E31" s="11">
        <f t="shared" si="12"/>
        <v>192831</v>
      </c>
      <c r="F31" s="10">
        <v>6.0</v>
      </c>
      <c r="G31" s="11">
        <f t="shared" si="13"/>
        <v>8982</v>
      </c>
      <c r="H31" s="11">
        <f t="shared" si="14"/>
        <v>411198</v>
      </c>
    </row>
    <row r="32">
      <c r="A32" s="9" t="s">
        <v>60</v>
      </c>
      <c r="B32" s="10">
        <v>792.0</v>
      </c>
      <c r="C32" s="11">
        <f t="shared" si="11"/>
        <v>235224</v>
      </c>
      <c r="D32" s="10">
        <v>373.0</v>
      </c>
      <c r="E32" s="11">
        <f t="shared" si="12"/>
        <v>222681</v>
      </c>
      <c r="F32" s="10">
        <v>6.0</v>
      </c>
      <c r="G32" s="11">
        <f t="shared" si="13"/>
        <v>8982</v>
      </c>
      <c r="H32" s="11">
        <f t="shared" si="14"/>
        <v>466887</v>
      </c>
    </row>
    <row r="33">
      <c r="A33" s="9" t="s">
        <v>61</v>
      </c>
      <c r="B33" s="10">
        <v>890.0</v>
      </c>
      <c r="C33" s="11">
        <f t="shared" si="11"/>
        <v>264330</v>
      </c>
      <c r="D33" s="10">
        <v>429.0</v>
      </c>
      <c r="E33" s="11">
        <f t="shared" si="12"/>
        <v>256113</v>
      </c>
      <c r="F33" s="10">
        <v>6.0</v>
      </c>
      <c r="G33" s="11">
        <f t="shared" si="13"/>
        <v>8982</v>
      </c>
      <c r="H33" s="11">
        <f t="shared" si="14"/>
        <v>529425</v>
      </c>
    </row>
    <row r="34">
      <c r="A34" s="9" t="s">
        <v>62</v>
      </c>
      <c r="B34" s="10">
        <v>1000.0</v>
      </c>
      <c r="C34" s="11">
        <f t="shared" si="11"/>
        <v>297000</v>
      </c>
      <c r="D34" s="10">
        <v>494.0</v>
      </c>
      <c r="E34" s="11">
        <f t="shared" si="12"/>
        <v>294918</v>
      </c>
      <c r="F34" s="10">
        <v>7.0</v>
      </c>
      <c r="G34" s="11">
        <f t="shared" si="13"/>
        <v>10479</v>
      </c>
      <c r="H34" s="11">
        <f t="shared" si="14"/>
        <v>602397</v>
      </c>
    </row>
    <row r="35">
      <c r="A35" s="9" t="s">
        <v>63</v>
      </c>
      <c r="B35" s="10">
        <v>1123.0</v>
      </c>
      <c r="C35" s="11">
        <f t="shared" si="11"/>
        <v>333531</v>
      </c>
      <c r="D35" s="10">
        <v>569.0</v>
      </c>
      <c r="E35" s="11">
        <f t="shared" si="12"/>
        <v>339693</v>
      </c>
      <c r="F35" s="10">
        <v>7.0</v>
      </c>
      <c r="G35" s="11">
        <f t="shared" si="13"/>
        <v>10479</v>
      </c>
      <c r="H35" s="11">
        <f t="shared" si="14"/>
        <v>683703</v>
      </c>
    </row>
    <row r="36">
      <c r="A36" s="9" t="s">
        <v>64</v>
      </c>
      <c r="B36" s="10">
        <v>1260.0</v>
      </c>
      <c r="C36" s="11">
        <f t="shared" si="11"/>
        <v>374220</v>
      </c>
      <c r="D36" s="10">
        <v>656.0</v>
      </c>
      <c r="E36" s="11">
        <f t="shared" si="12"/>
        <v>391632</v>
      </c>
      <c r="F36" s="10">
        <v>7.0</v>
      </c>
      <c r="G36" s="11">
        <f t="shared" si="13"/>
        <v>10479</v>
      </c>
      <c r="H36" s="11">
        <f t="shared" si="14"/>
        <v>776331</v>
      </c>
    </row>
    <row r="37">
      <c r="A37" s="9" t="s">
        <v>65</v>
      </c>
      <c r="B37" s="10">
        <v>1415.0</v>
      </c>
      <c r="C37" s="11">
        <f t="shared" si="11"/>
        <v>420255</v>
      </c>
      <c r="D37" s="10">
        <v>755.0</v>
      </c>
      <c r="E37" s="11">
        <f t="shared" si="12"/>
        <v>450735</v>
      </c>
      <c r="F37" s="10">
        <v>7.0</v>
      </c>
      <c r="G37" s="11">
        <f t="shared" si="13"/>
        <v>10479</v>
      </c>
      <c r="H37" s="11">
        <f t="shared" si="14"/>
        <v>881469</v>
      </c>
    </row>
    <row r="38">
      <c r="A38" s="9" t="s">
        <v>66</v>
      </c>
      <c r="B38" s="10">
        <v>1587.0</v>
      </c>
      <c r="C38" s="11">
        <f t="shared" si="11"/>
        <v>471339</v>
      </c>
      <c r="D38" s="10">
        <v>869.0</v>
      </c>
      <c r="E38" s="11">
        <f t="shared" si="12"/>
        <v>518793</v>
      </c>
      <c r="F38" s="10">
        <v>7.0</v>
      </c>
      <c r="G38" s="11">
        <f t="shared" si="13"/>
        <v>10479</v>
      </c>
      <c r="H38" s="11">
        <f t="shared" si="14"/>
        <v>1000611</v>
      </c>
    </row>
    <row r="39">
      <c r="A39" s="9" t="s">
        <v>67</v>
      </c>
      <c r="B39" s="10">
        <v>1780.0</v>
      </c>
      <c r="C39" s="11">
        <f t="shared" si="11"/>
        <v>528660</v>
      </c>
      <c r="D39" s="10">
        <v>1000.0</v>
      </c>
      <c r="E39" s="11">
        <f t="shared" si="12"/>
        <v>597000</v>
      </c>
      <c r="F39" s="10">
        <v>8.0</v>
      </c>
      <c r="G39" s="11">
        <f t="shared" si="13"/>
        <v>11976</v>
      </c>
      <c r="H39" s="11">
        <f t="shared" si="14"/>
        <v>1137636</v>
      </c>
    </row>
    <row r="40">
      <c r="A40" s="16" t="s">
        <v>68</v>
      </c>
      <c r="C40" s="15">
        <f>SUM(C28:C39)</f>
        <v>4480839</v>
      </c>
      <c r="E40" s="15">
        <f>SUM(E28:E39)</f>
        <v>4309743</v>
      </c>
      <c r="G40" s="15">
        <f t="shared" ref="G40:H40" si="15">SUM(G28:G39)</f>
        <v>209580</v>
      </c>
      <c r="H40" s="15">
        <f t="shared" si="15"/>
        <v>9000162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pageSetUpPr/>
  </sheetPr>
  <sheetViews>
    <sheetView workbookViewId="0"/>
  </sheetViews>
  <sheetFormatPr customHeight="1" defaultColWidth="14.43" defaultRowHeight="15.75"/>
  <cols>
    <col customWidth="1" min="1" max="1" width="10.0"/>
    <col customWidth="1" min="2" max="6" width="14.0"/>
    <col customWidth="1" min="7" max="7" width="16.0"/>
    <col customWidth="1" min="8" max="26" width="8.71"/>
  </cols>
  <sheetData>
    <row r="1">
      <c r="A1" s="1" t="s">
        <v>69</v>
      </c>
    </row>
    <row r="3">
      <c r="A3" s="7" t="s">
        <v>15</v>
      </c>
      <c r="B3" s="7" t="s">
        <v>70</v>
      </c>
      <c r="C3" s="7" t="s">
        <v>71</v>
      </c>
      <c r="D3" s="7" t="s">
        <v>72</v>
      </c>
      <c r="E3" s="7" t="s">
        <v>73</v>
      </c>
      <c r="F3" s="7" t="s">
        <v>74</v>
      </c>
      <c r="G3" s="7" t="s">
        <v>75</v>
      </c>
    </row>
    <row r="4">
      <c r="A4" s="17" t="s">
        <v>23</v>
      </c>
      <c r="B4" s="11">
        <v>2500.0</v>
      </c>
      <c r="C4" s="11">
        <v>80000.0</v>
      </c>
      <c r="D4" s="11">
        <v>15000.0</v>
      </c>
      <c r="E4" s="11">
        <v>8000.0</v>
      </c>
      <c r="F4" s="11">
        <v>5000.0</v>
      </c>
      <c r="G4" s="11">
        <f t="shared" ref="G4:G39" si="1">SUM(B4:F4)</f>
        <v>110500</v>
      </c>
    </row>
    <row r="5">
      <c r="A5" s="17" t="s">
        <v>24</v>
      </c>
      <c r="B5" s="11">
        <v>2625.0</v>
      </c>
      <c r="C5" s="11">
        <v>84000.0</v>
      </c>
      <c r="D5" s="11">
        <v>16200.0</v>
      </c>
      <c r="E5" s="11">
        <v>8400.0</v>
      </c>
      <c r="F5" s="11">
        <v>5000.0</v>
      </c>
      <c r="G5" s="11">
        <f t="shared" si="1"/>
        <v>116225</v>
      </c>
    </row>
    <row r="6">
      <c r="A6" s="17" t="s">
        <v>25</v>
      </c>
      <c r="B6" s="11">
        <v>2750.0</v>
      </c>
      <c r="C6" s="11">
        <v>88000.0</v>
      </c>
      <c r="D6" s="11">
        <v>17400.0</v>
      </c>
      <c r="E6" s="11">
        <v>8800.0</v>
      </c>
      <c r="F6" s="11">
        <v>5000.0</v>
      </c>
      <c r="G6" s="11">
        <f t="shared" si="1"/>
        <v>121950</v>
      </c>
    </row>
    <row r="7">
      <c r="A7" s="17" t="s">
        <v>26</v>
      </c>
      <c r="B7" s="11">
        <v>2875.0</v>
      </c>
      <c r="C7" s="11">
        <v>92000.0</v>
      </c>
      <c r="D7" s="11">
        <v>18600.0</v>
      </c>
      <c r="E7" s="11">
        <v>9200.0</v>
      </c>
      <c r="F7" s="11">
        <v>5000.0</v>
      </c>
      <c r="G7" s="11">
        <f t="shared" si="1"/>
        <v>127675</v>
      </c>
    </row>
    <row r="8">
      <c r="A8" s="17" t="s">
        <v>27</v>
      </c>
      <c r="B8" s="11">
        <v>3000.0</v>
      </c>
      <c r="C8" s="11">
        <v>96000.0</v>
      </c>
      <c r="D8" s="11">
        <v>19800.0</v>
      </c>
      <c r="E8" s="11">
        <v>9600.0</v>
      </c>
      <c r="F8" s="11">
        <v>5000.0</v>
      </c>
      <c r="G8" s="11">
        <f t="shared" si="1"/>
        <v>133400</v>
      </c>
    </row>
    <row r="9">
      <c r="A9" s="17" t="s">
        <v>28</v>
      </c>
      <c r="B9" s="11">
        <v>3125.0</v>
      </c>
      <c r="C9" s="11">
        <v>100000.0</v>
      </c>
      <c r="D9" s="11">
        <v>21000.0</v>
      </c>
      <c r="E9" s="11">
        <v>10000.0</v>
      </c>
      <c r="F9" s="11">
        <v>5000.0</v>
      </c>
      <c r="G9" s="11">
        <f t="shared" si="1"/>
        <v>139125</v>
      </c>
    </row>
    <row r="10">
      <c r="A10" s="17" t="s">
        <v>29</v>
      </c>
      <c r="B10" s="11">
        <v>3250.0</v>
      </c>
      <c r="C10" s="11">
        <v>104000.0</v>
      </c>
      <c r="D10" s="11">
        <v>22200.0</v>
      </c>
      <c r="E10" s="11">
        <v>10400.0</v>
      </c>
      <c r="F10" s="11">
        <v>5000.0</v>
      </c>
      <c r="G10" s="11">
        <f t="shared" si="1"/>
        <v>144850</v>
      </c>
    </row>
    <row r="11">
      <c r="A11" s="17" t="s">
        <v>30</v>
      </c>
      <c r="B11" s="11">
        <v>3375.0</v>
      </c>
      <c r="C11" s="11">
        <v>108000.0</v>
      </c>
      <c r="D11" s="11">
        <v>23400.0</v>
      </c>
      <c r="E11" s="11">
        <v>10800.0</v>
      </c>
      <c r="F11" s="11">
        <v>5000.0</v>
      </c>
      <c r="G11" s="11">
        <f t="shared" si="1"/>
        <v>150575</v>
      </c>
    </row>
    <row r="12">
      <c r="A12" s="17" t="s">
        <v>31</v>
      </c>
      <c r="B12" s="11">
        <v>3500.0</v>
      </c>
      <c r="C12" s="11">
        <v>112000.0</v>
      </c>
      <c r="D12" s="11">
        <v>24600.0</v>
      </c>
      <c r="E12" s="11">
        <v>11200.0</v>
      </c>
      <c r="F12" s="11">
        <v>5000.0</v>
      </c>
      <c r="G12" s="11">
        <f t="shared" si="1"/>
        <v>156300</v>
      </c>
    </row>
    <row r="13">
      <c r="A13" s="17" t="s">
        <v>32</v>
      </c>
      <c r="B13" s="11">
        <v>3625.0</v>
      </c>
      <c r="C13" s="11">
        <v>116000.0</v>
      </c>
      <c r="D13" s="11">
        <v>25800.0</v>
      </c>
      <c r="E13" s="11">
        <v>11600.0</v>
      </c>
      <c r="F13" s="11">
        <v>5000.0</v>
      </c>
      <c r="G13" s="11">
        <f t="shared" si="1"/>
        <v>162025</v>
      </c>
    </row>
    <row r="14">
      <c r="A14" s="17" t="s">
        <v>33</v>
      </c>
      <c r="B14" s="11">
        <v>3750.0</v>
      </c>
      <c r="C14" s="11">
        <v>120000.0</v>
      </c>
      <c r="D14" s="11">
        <v>27000.0</v>
      </c>
      <c r="E14" s="11">
        <v>12000.0</v>
      </c>
      <c r="F14" s="11">
        <v>5000.0</v>
      </c>
      <c r="G14" s="11">
        <f t="shared" si="1"/>
        <v>167750</v>
      </c>
    </row>
    <row r="15">
      <c r="A15" s="17" t="s">
        <v>34</v>
      </c>
      <c r="B15" s="11">
        <v>3875.0</v>
      </c>
      <c r="C15" s="11">
        <v>124000.0</v>
      </c>
      <c r="D15" s="11">
        <v>28200.0</v>
      </c>
      <c r="E15" s="11">
        <v>12400.0</v>
      </c>
      <c r="F15" s="11">
        <v>5000.0</v>
      </c>
      <c r="G15" s="11">
        <f t="shared" si="1"/>
        <v>173475</v>
      </c>
    </row>
    <row r="16">
      <c r="A16" s="17" t="s">
        <v>76</v>
      </c>
      <c r="B16" s="11">
        <v>4000.0</v>
      </c>
      <c r="C16" s="11">
        <v>128000.0</v>
      </c>
      <c r="D16" s="11">
        <v>29400.0</v>
      </c>
      <c r="E16" s="11">
        <v>12800.0</v>
      </c>
      <c r="F16" s="11">
        <v>5000.0</v>
      </c>
      <c r="G16" s="11">
        <f t="shared" si="1"/>
        <v>179200</v>
      </c>
    </row>
    <row r="17">
      <c r="A17" s="17" t="s">
        <v>45</v>
      </c>
      <c r="B17" s="11">
        <v>4125.0</v>
      </c>
      <c r="C17" s="11">
        <v>132000.0</v>
      </c>
      <c r="D17" s="11">
        <v>30600.0</v>
      </c>
      <c r="E17" s="11">
        <v>13200.0</v>
      </c>
      <c r="F17" s="11">
        <v>5000.0</v>
      </c>
      <c r="G17" s="11">
        <f t="shared" si="1"/>
        <v>184925</v>
      </c>
    </row>
    <row r="18">
      <c r="A18" s="17" t="s">
        <v>46</v>
      </c>
      <c r="B18" s="11">
        <v>4250.0</v>
      </c>
      <c r="C18" s="11">
        <v>136000.0</v>
      </c>
      <c r="D18" s="11">
        <v>31800.0</v>
      </c>
      <c r="E18" s="11">
        <v>13600.0</v>
      </c>
      <c r="F18" s="11">
        <v>5000.0</v>
      </c>
      <c r="G18" s="11">
        <f t="shared" si="1"/>
        <v>190650</v>
      </c>
    </row>
    <row r="19">
      <c r="A19" s="17" t="s">
        <v>47</v>
      </c>
      <c r="B19" s="11">
        <v>4375.0</v>
      </c>
      <c r="C19" s="11">
        <v>140000.0</v>
      </c>
      <c r="D19" s="11">
        <v>33000.0</v>
      </c>
      <c r="E19" s="11">
        <v>14000.0</v>
      </c>
      <c r="F19" s="11">
        <v>5000.0</v>
      </c>
      <c r="G19" s="11">
        <f t="shared" si="1"/>
        <v>196375</v>
      </c>
    </row>
    <row r="20">
      <c r="A20" s="17" t="s">
        <v>48</v>
      </c>
      <c r="B20" s="11">
        <v>4500.0</v>
      </c>
      <c r="C20" s="11">
        <v>144000.0</v>
      </c>
      <c r="D20" s="11">
        <v>34200.0</v>
      </c>
      <c r="E20" s="11">
        <v>14400.0</v>
      </c>
      <c r="F20" s="11">
        <v>5000.0</v>
      </c>
      <c r="G20" s="11">
        <f t="shared" si="1"/>
        <v>202100</v>
      </c>
    </row>
    <row r="21">
      <c r="A21" s="17" t="s">
        <v>49</v>
      </c>
      <c r="B21" s="11">
        <v>4625.0</v>
      </c>
      <c r="C21" s="11">
        <v>148000.0</v>
      </c>
      <c r="D21" s="11">
        <v>35400.0</v>
      </c>
      <c r="E21" s="11">
        <v>14800.0</v>
      </c>
      <c r="F21" s="11">
        <v>5000.0</v>
      </c>
      <c r="G21" s="11">
        <f t="shared" si="1"/>
        <v>207825</v>
      </c>
    </row>
    <row r="22">
      <c r="A22" s="17" t="s">
        <v>50</v>
      </c>
      <c r="B22" s="11">
        <v>4750.0</v>
      </c>
      <c r="C22" s="11">
        <v>152000.0</v>
      </c>
      <c r="D22" s="11">
        <v>36600.0</v>
      </c>
      <c r="E22" s="11">
        <v>15200.0</v>
      </c>
      <c r="F22" s="11">
        <v>5000.0</v>
      </c>
      <c r="G22" s="11">
        <f t="shared" si="1"/>
        <v>213550</v>
      </c>
    </row>
    <row r="23">
      <c r="A23" s="17" t="s">
        <v>51</v>
      </c>
      <c r="B23" s="11">
        <v>4875.0</v>
      </c>
      <c r="C23" s="11">
        <v>156000.0</v>
      </c>
      <c r="D23" s="11">
        <v>37800.0</v>
      </c>
      <c r="E23" s="11">
        <v>15600.0</v>
      </c>
      <c r="F23" s="11">
        <v>5000.0</v>
      </c>
      <c r="G23" s="11">
        <f t="shared" si="1"/>
        <v>219275</v>
      </c>
    </row>
    <row r="24">
      <c r="A24" s="17" t="s">
        <v>52</v>
      </c>
      <c r="B24" s="11">
        <v>5000.0</v>
      </c>
      <c r="C24" s="11">
        <v>160000.0</v>
      </c>
      <c r="D24" s="11">
        <v>39000.0</v>
      </c>
      <c r="E24" s="11">
        <v>16000.0</v>
      </c>
      <c r="F24" s="11">
        <v>5000.0</v>
      </c>
      <c r="G24" s="11">
        <f t="shared" si="1"/>
        <v>225000</v>
      </c>
    </row>
    <row r="25">
      <c r="A25" s="17" t="s">
        <v>53</v>
      </c>
      <c r="B25" s="11">
        <v>5125.0</v>
      </c>
      <c r="C25" s="11">
        <v>164000.0</v>
      </c>
      <c r="D25" s="11">
        <v>40199.0</v>
      </c>
      <c r="E25" s="11">
        <v>16400.0</v>
      </c>
      <c r="F25" s="11">
        <v>5000.0</v>
      </c>
      <c r="G25" s="11">
        <f t="shared" si="1"/>
        <v>230724</v>
      </c>
    </row>
    <row r="26">
      <c r="A26" s="17" t="s">
        <v>54</v>
      </c>
      <c r="B26" s="11">
        <v>5250.0</v>
      </c>
      <c r="C26" s="11">
        <v>168000.0</v>
      </c>
      <c r="D26" s="11">
        <v>41400.0</v>
      </c>
      <c r="E26" s="11">
        <v>16800.0</v>
      </c>
      <c r="F26" s="11">
        <v>5000.0</v>
      </c>
      <c r="G26" s="11">
        <f t="shared" si="1"/>
        <v>236450</v>
      </c>
    </row>
    <row r="27">
      <c r="A27" s="17" t="s">
        <v>55</v>
      </c>
      <c r="B27" s="11">
        <v>5375.0</v>
      </c>
      <c r="C27" s="11">
        <v>172000.0</v>
      </c>
      <c r="D27" s="11">
        <v>42600.0</v>
      </c>
      <c r="E27" s="11">
        <v>17200.0</v>
      </c>
      <c r="F27" s="11">
        <v>5000.0</v>
      </c>
      <c r="G27" s="11">
        <f t="shared" si="1"/>
        <v>242175</v>
      </c>
    </row>
    <row r="28">
      <c r="A28" s="17" t="s">
        <v>77</v>
      </c>
      <c r="B28" s="11">
        <v>5500.0</v>
      </c>
      <c r="C28" s="11">
        <v>176000.0</v>
      </c>
      <c r="D28" s="11">
        <v>43800.0</v>
      </c>
      <c r="E28" s="11">
        <v>17600.0</v>
      </c>
      <c r="F28" s="11">
        <v>5000.0</v>
      </c>
      <c r="G28" s="11">
        <f t="shared" si="1"/>
        <v>247900</v>
      </c>
    </row>
    <row r="29">
      <c r="A29" s="17" t="s">
        <v>57</v>
      </c>
      <c r="B29" s="11">
        <v>5625.0</v>
      </c>
      <c r="C29" s="11">
        <v>180000.0</v>
      </c>
      <c r="D29" s="11">
        <v>45000.0</v>
      </c>
      <c r="E29" s="11">
        <v>18000.0</v>
      </c>
      <c r="F29" s="11">
        <v>5000.0</v>
      </c>
      <c r="G29" s="11">
        <f t="shared" si="1"/>
        <v>253625</v>
      </c>
    </row>
    <row r="30">
      <c r="A30" s="17" t="s">
        <v>58</v>
      </c>
      <c r="B30" s="11">
        <v>5750.0</v>
      </c>
      <c r="C30" s="11">
        <v>184000.0</v>
      </c>
      <c r="D30" s="11">
        <v>46200.0</v>
      </c>
      <c r="E30" s="11">
        <v>18400.0</v>
      </c>
      <c r="F30" s="11">
        <v>5000.0</v>
      </c>
      <c r="G30" s="11">
        <f t="shared" si="1"/>
        <v>259350</v>
      </c>
    </row>
    <row r="31">
      <c r="A31" s="17" t="s">
        <v>59</v>
      </c>
      <c r="B31" s="11">
        <v>5875.0</v>
      </c>
      <c r="C31" s="11">
        <v>188000.0</v>
      </c>
      <c r="D31" s="11">
        <v>47400.0</v>
      </c>
      <c r="E31" s="11">
        <v>18800.0</v>
      </c>
      <c r="F31" s="11">
        <v>5000.0</v>
      </c>
      <c r="G31" s="11">
        <f t="shared" si="1"/>
        <v>265075</v>
      </c>
    </row>
    <row r="32">
      <c r="A32" s="17" t="s">
        <v>60</v>
      </c>
      <c r="B32" s="11">
        <v>6000.0</v>
      </c>
      <c r="C32" s="11">
        <v>192000.0</v>
      </c>
      <c r="D32" s="11">
        <v>48600.0</v>
      </c>
      <c r="E32" s="11">
        <v>19200.0</v>
      </c>
      <c r="F32" s="11">
        <v>5000.0</v>
      </c>
      <c r="G32" s="11">
        <f t="shared" si="1"/>
        <v>270800</v>
      </c>
    </row>
    <row r="33">
      <c r="A33" s="17" t="s">
        <v>61</v>
      </c>
      <c r="B33" s="11">
        <v>6125.0</v>
      </c>
      <c r="C33" s="11">
        <v>196000.0</v>
      </c>
      <c r="D33" s="11">
        <v>49800.0</v>
      </c>
      <c r="E33" s="11">
        <v>19600.0</v>
      </c>
      <c r="F33" s="11">
        <v>5000.0</v>
      </c>
      <c r="G33" s="11">
        <f t="shared" si="1"/>
        <v>276525</v>
      </c>
    </row>
    <row r="34">
      <c r="A34" s="17" t="s">
        <v>62</v>
      </c>
      <c r="B34" s="11">
        <v>6250.0</v>
      </c>
      <c r="C34" s="11">
        <v>200000.0</v>
      </c>
      <c r="D34" s="11">
        <v>51000.0</v>
      </c>
      <c r="E34" s="11">
        <v>20000.0</v>
      </c>
      <c r="F34" s="11">
        <v>5000.0</v>
      </c>
      <c r="G34" s="11">
        <f t="shared" si="1"/>
        <v>282250</v>
      </c>
    </row>
    <row r="35">
      <c r="A35" s="17" t="s">
        <v>63</v>
      </c>
      <c r="B35" s="11">
        <v>6375.0</v>
      </c>
      <c r="C35" s="11">
        <v>204000.0</v>
      </c>
      <c r="D35" s="11">
        <v>52200.0</v>
      </c>
      <c r="E35" s="11">
        <v>20400.0</v>
      </c>
      <c r="F35" s="11">
        <v>5000.0</v>
      </c>
      <c r="G35" s="11">
        <f t="shared" si="1"/>
        <v>287975</v>
      </c>
    </row>
    <row r="36">
      <c r="A36" s="17" t="s">
        <v>64</v>
      </c>
      <c r="B36" s="11">
        <v>6500.0</v>
      </c>
      <c r="C36" s="11">
        <v>208000.0</v>
      </c>
      <c r="D36" s="11">
        <v>53400.0</v>
      </c>
      <c r="E36" s="11">
        <v>20800.0</v>
      </c>
      <c r="F36" s="11">
        <v>5000.0</v>
      </c>
      <c r="G36" s="11">
        <f t="shared" si="1"/>
        <v>293700</v>
      </c>
    </row>
    <row r="37">
      <c r="A37" s="17" t="s">
        <v>65</v>
      </c>
      <c r="B37" s="11">
        <v>6625.0</v>
      </c>
      <c r="C37" s="11">
        <v>212000.0</v>
      </c>
      <c r="D37" s="11">
        <v>54600.0</v>
      </c>
      <c r="E37" s="11">
        <v>21200.0</v>
      </c>
      <c r="F37" s="11">
        <v>5000.0</v>
      </c>
      <c r="G37" s="11">
        <f t="shared" si="1"/>
        <v>299425</v>
      </c>
    </row>
    <row r="38">
      <c r="A38" s="17" t="s">
        <v>66</v>
      </c>
      <c r="B38" s="11">
        <v>6750.0</v>
      </c>
      <c r="C38" s="11">
        <v>216000.0</v>
      </c>
      <c r="D38" s="11">
        <v>55800.0</v>
      </c>
      <c r="E38" s="11">
        <v>21600.0</v>
      </c>
      <c r="F38" s="11">
        <v>5000.0</v>
      </c>
      <c r="G38" s="11">
        <f t="shared" si="1"/>
        <v>305150</v>
      </c>
    </row>
    <row r="39">
      <c r="A39" s="17" t="s">
        <v>67</v>
      </c>
      <c r="B39" s="11">
        <v>6875.0</v>
      </c>
      <c r="C39" s="11">
        <v>220000.0</v>
      </c>
      <c r="D39" s="11">
        <v>57000.0</v>
      </c>
      <c r="E39" s="11">
        <v>22000.0</v>
      </c>
      <c r="F39" s="11">
        <v>5000.0</v>
      </c>
      <c r="G39" s="11">
        <f t="shared" si="1"/>
        <v>310875</v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pageSetUpPr/>
  </sheetPr>
  <sheetViews>
    <sheetView workbookViewId="0"/>
  </sheetViews>
  <sheetFormatPr customHeight="1" defaultColWidth="14.43" defaultRowHeight="15.75"/>
  <cols>
    <col customWidth="1" min="1" max="1" width="30.0"/>
    <col customWidth="1" min="2" max="2" width="18.0"/>
    <col customWidth="1" min="3" max="3" width="10.0"/>
    <col customWidth="1" min="4" max="4" width="35.0"/>
    <col customWidth="1" min="5" max="26" width="8.71"/>
  </cols>
  <sheetData>
    <row r="1">
      <c r="A1" s="1" t="s">
        <v>78</v>
      </c>
    </row>
    <row r="3">
      <c r="A3" s="7" t="s">
        <v>79</v>
      </c>
      <c r="B3" s="7" t="s">
        <v>80</v>
      </c>
      <c r="C3" s="7" t="s">
        <v>81</v>
      </c>
      <c r="D3" s="7" t="s">
        <v>82</v>
      </c>
    </row>
    <row r="4">
      <c r="A4" s="18" t="s">
        <v>83</v>
      </c>
      <c r="B4" s="19">
        <v>110500.0</v>
      </c>
      <c r="C4" s="20" t="s">
        <v>84</v>
      </c>
      <c r="D4" s="20" t="s">
        <v>85</v>
      </c>
    </row>
    <row r="5">
      <c r="A5" s="18" t="s">
        <v>86</v>
      </c>
      <c r="B5" s="21">
        <v>0.15</v>
      </c>
      <c r="C5" s="20" t="s">
        <v>87</v>
      </c>
      <c r="D5" s="20" t="s">
        <v>88</v>
      </c>
    </row>
    <row r="6">
      <c r="A6" s="18" t="s">
        <v>89</v>
      </c>
      <c r="B6" s="19">
        <v>489.0</v>
      </c>
      <c r="C6" s="20" t="s">
        <v>84</v>
      </c>
      <c r="D6" s="20" t="s">
        <v>90</v>
      </c>
    </row>
    <row r="7">
      <c r="A7" s="18" t="s">
        <v>91</v>
      </c>
      <c r="B7" s="21">
        <v>0.85</v>
      </c>
      <c r="C7" s="20" t="s">
        <v>87</v>
      </c>
      <c r="D7" s="20" t="s">
        <v>92</v>
      </c>
    </row>
    <row r="8">
      <c r="A8" s="18" t="s">
        <v>93</v>
      </c>
      <c r="B8" s="20">
        <v>267.0</v>
      </c>
      <c r="C8" s="20" t="s">
        <v>94</v>
      </c>
      <c r="D8" s="20" t="s">
        <v>95</v>
      </c>
    </row>
    <row r="9">
      <c r="A9" s="18" t="s">
        <v>96</v>
      </c>
      <c r="B9" s="20">
        <v>130563.0</v>
      </c>
      <c r="C9" s="20" t="s">
        <v>97</v>
      </c>
      <c r="D9" s="20" t="s">
        <v>98</v>
      </c>
    </row>
    <row r="10">
      <c r="A10" s="18" t="s">
        <v>99</v>
      </c>
      <c r="B10" s="19">
        <v>110500.0</v>
      </c>
      <c r="C10" s="20" t="s">
        <v>84</v>
      </c>
      <c r="D10" s="20" t="s">
        <v>100</v>
      </c>
    </row>
    <row r="11">
      <c r="A11" s="18" t="s">
        <v>101</v>
      </c>
      <c r="B11" s="19">
        <v>2000000.0</v>
      </c>
      <c r="C11" s="20" t="s">
        <v>84</v>
      </c>
      <c r="D11" s="20" t="s">
        <v>102</v>
      </c>
    </row>
    <row r="12">
      <c r="A12" s="18" t="s">
        <v>103</v>
      </c>
      <c r="B12" s="20">
        <v>18.0</v>
      </c>
      <c r="C12" s="20" t="s">
        <v>104</v>
      </c>
      <c r="D12" s="20" t="s">
        <v>105</v>
      </c>
    </row>
    <row r="13">
      <c r="A13" s="18" t="s">
        <v>106</v>
      </c>
      <c r="B13" s="20">
        <v>14.0</v>
      </c>
      <c r="C13" s="20" t="s">
        <v>107</v>
      </c>
      <c r="D13" s="20" t="s">
        <v>108</v>
      </c>
    </row>
    <row r="14">
      <c r="A14" s="18" t="s">
        <v>109</v>
      </c>
      <c r="B14" s="21">
        <v>0.35</v>
      </c>
      <c r="C14" s="20" t="s">
        <v>87</v>
      </c>
      <c r="D14" s="20" t="s">
        <v>110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pageSetUpPr/>
  </sheetPr>
  <sheetViews>
    <sheetView workbookViewId="0"/>
  </sheetViews>
  <sheetFormatPr customHeight="1" defaultColWidth="14.43" defaultRowHeight="15.75"/>
  <cols>
    <col customWidth="1" min="1" max="1" width="28.0"/>
    <col customWidth="1" min="2" max="3" width="16.0"/>
    <col customWidth="1" min="4" max="4" width="40.0"/>
    <col customWidth="1" min="5" max="26" width="8.71"/>
  </cols>
  <sheetData>
    <row r="1">
      <c r="A1" s="1" t="s">
        <v>111</v>
      </c>
    </row>
    <row r="3">
      <c r="A3" s="22" t="s">
        <v>112</v>
      </c>
    </row>
    <row r="4">
      <c r="A4" s="7" t="s">
        <v>113</v>
      </c>
      <c r="B4" s="7" t="s">
        <v>114</v>
      </c>
      <c r="C4" s="7" t="s">
        <v>115</v>
      </c>
      <c r="D4" s="7" t="s">
        <v>116</v>
      </c>
    </row>
    <row r="5">
      <c r="A5" s="23" t="s">
        <v>117</v>
      </c>
      <c r="B5" s="24">
        <v>0.4</v>
      </c>
      <c r="C5" s="25">
        <v>800000.0</v>
      </c>
      <c r="D5" s="26" t="s">
        <v>118</v>
      </c>
    </row>
    <row r="6">
      <c r="A6" s="23" t="s">
        <v>119</v>
      </c>
      <c r="B6" s="24">
        <v>0.3</v>
      </c>
      <c r="C6" s="25">
        <v>600000.0</v>
      </c>
      <c r="D6" s="26" t="s">
        <v>120</v>
      </c>
    </row>
    <row r="7">
      <c r="A7" s="23" t="s">
        <v>121</v>
      </c>
      <c r="B7" s="24">
        <v>0.2</v>
      </c>
      <c r="C7" s="25">
        <v>400000.0</v>
      </c>
      <c r="D7" s="26" t="s">
        <v>122</v>
      </c>
    </row>
    <row r="8">
      <c r="A8" s="23" t="s">
        <v>123</v>
      </c>
      <c r="B8" s="24">
        <v>0.1</v>
      </c>
      <c r="C8" s="25">
        <v>200000.0</v>
      </c>
      <c r="D8" s="26" t="s">
        <v>124</v>
      </c>
    </row>
    <row r="9">
      <c r="A9" s="27" t="s">
        <v>125</v>
      </c>
      <c r="B9" s="28">
        <f t="shared" ref="B9:C9" si="1">SUM(B5:B8)</f>
        <v>1</v>
      </c>
      <c r="C9" s="29">
        <f t="shared" si="1"/>
        <v>2000000</v>
      </c>
      <c r="D9" s="27"/>
    </row>
    <row r="11">
      <c r="A11" s="22" t="s">
        <v>126</v>
      </c>
    </row>
    <row r="12">
      <c r="A12" s="7" t="s">
        <v>113</v>
      </c>
      <c r="B12" s="7" t="s">
        <v>114</v>
      </c>
      <c r="C12" s="7" t="s">
        <v>115</v>
      </c>
      <c r="D12" s="7" t="s">
        <v>116</v>
      </c>
    </row>
    <row r="13">
      <c r="A13" s="23" t="s">
        <v>127</v>
      </c>
      <c r="B13" s="24">
        <v>0.35</v>
      </c>
      <c r="C13" s="25">
        <v>3500000.0</v>
      </c>
      <c r="D13" s="26" t="s">
        <v>128</v>
      </c>
    </row>
    <row r="14">
      <c r="A14" s="23" t="s">
        <v>129</v>
      </c>
      <c r="B14" s="24">
        <v>0.25</v>
      </c>
      <c r="C14" s="25">
        <v>2500000.0</v>
      </c>
      <c r="D14" s="26" t="s">
        <v>130</v>
      </c>
    </row>
    <row r="15">
      <c r="A15" s="23" t="s">
        <v>131</v>
      </c>
      <c r="B15" s="24">
        <v>0.2</v>
      </c>
      <c r="C15" s="25">
        <v>2000000.0</v>
      </c>
      <c r="D15" s="26" t="s">
        <v>132</v>
      </c>
    </row>
    <row r="16">
      <c r="A16" s="23" t="s">
        <v>133</v>
      </c>
      <c r="B16" s="24">
        <v>0.15</v>
      </c>
      <c r="C16" s="25">
        <v>1500000.0</v>
      </c>
      <c r="D16" s="26" t="s">
        <v>134</v>
      </c>
    </row>
    <row r="17">
      <c r="A17" s="23" t="s">
        <v>135</v>
      </c>
      <c r="B17" s="24">
        <v>0.05</v>
      </c>
      <c r="C17" s="25">
        <v>500000.0</v>
      </c>
      <c r="D17" s="26" t="s">
        <v>136</v>
      </c>
    </row>
    <row r="20">
      <c r="A20" s="5" t="s">
        <v>137</v>
      </c>
    </row>
    <row r="21">
      <c r="A21" s="30" t="s">
        <v>138</v>
      </c>
      <c r="B21" s="30" t="s">
        <v>139</v>
      </c>
      <c r="C21" s="30" t="s">
        <v>140</v>
      </c>
      <c r="D21" s="30" t="s">
        <v>141</v>
      </c>
      <c r="E21" s="30" t="s">
        <v>142</v>
      </c>
    </row>
    <row r="22">
      <c r="A22" s="20" t="s">
        <v>143</v>
      </c>
      <c r="B22" s="20" t="s">
        <v>144</v>
      </c>
      <c r="C22" s="20" t="s">
        <v>145</v>
      </c>
      <c r="D22" s="20" t="s">
        <v>146</v>
      </c>
      <c r="E22" s="20" t="s">
        <v>147</v>
      </c>
    </row>
    <row r="23">
      <c r="A23" s="20" t="s">
        <v>148</v>
      </c>
      <c r="B23" s="20" t="s">
        <v>149</v>
      </c>
      <c r="C23" s="20" t="s">
        <v>150</v>
      </c>
      <c r="D23" s="20" t="s">
        <v>151</v>
      </c>
      <c r="E23" s="20" t="s">
        <v>152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